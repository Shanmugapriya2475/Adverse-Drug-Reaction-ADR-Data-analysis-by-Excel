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cer\Downloads\Healthcare data cleaning\"/>
    </mc:Choice>
  </mc:AlternateContent>
  <xr:revisionPtr revIDLastSave="0" documentId="13_ncr:1_{F33EC3C5-A409-467F-B61A-A31C1EBE50AF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Reaction matrix" sheetId="4" r:id="rId1"/>
    <sheet name="Risk factors " sheetId="5" r:id="rId2"/>
    <sheet name="Patient_Data" sheetId="1" r:id="rId3"/>
    <sheet name="Drug analysis" sheetId="3" r:id="rId4"/>
    <sheet name="Known_ADRs" sheetId="2" r:id="rId5"/>
  </sheets>
  <definedNames>
    <definedName name="_xlnm._FilterDatabase" localSheetId="2" hidden="1">Patient_Data!$A$1:$V$81</definedName>
  </definedNames>
  <calcPr calcId="191029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5" l="1"/>
  <c r="G3" i="5"/>
  <c r="G2" i="5"/>
  <c r="H2" i="5" s="1"/>
  <c r="B13" i="5"/>
  <c r="B12" i="5"/>
  <c r="B9" i="5"/>
  <c r="B8" i="5"/>
  <c r="G14" i="3"/>
  <c r="F8" i="3"/>
  <c r="F9" i="3"/>
  <c r="F10" i="3"/>
  <c r="F11" i="3"/>
  <c r="F12" i="3"/>
  <c r="F13" i="3"/>
  <c r="F14" i="3"/>
  <c r="F15" i="3"/>
  <c r="F16" i="3"/>
  <c r="F7" i="3"/>
  <c r="F17" i="3" s="1"/>
  <c r="D8" i="3"/>
  <c r="D9" i="3"/>
  <c r="D11" i="3"/>
  <c r="D13" i="3"/>
  <c r="D14" i="3"/>
  <c r="D15" i="3"/>
  <c r="D7" i="3"/>
  <c r="C8" i="3"/>
  <c r="C9" i="3"/>
  <c r="C10" i="3"/>
  <c r="C11" i="3"/>
  <c r="C12" i="3"/>
  <c r="C13" i="3"/>
  <c r="C14" i="3"/>
  <c r="C15" i="3"/>
  <c r="C16" i="3"/>
  <c r="C7" i="3"/>
  <c r="B8" i="3"/>
  <c r="B9" i="3"/>
  <c r="B10" i="3"/>
  <c r="B11" i="3"/>
  <c r="B12" i="3"/>
  <c r="B13" i="3"/>
  <c r="B14" i="3"/>
  <c r="B15" i="3"/>
  <c r="B16" i="3"/>
  <c r="B7" i="3"/>
  <c r="V2" i="1"/>
  <c r="U2" i="1"/>
  <c r="T2" i="1"/>
  <c r="R2" i="1"/>
  <c r="Q2" i="1"/>
  <c r="P3" i="1"/>
  <c r="P4" i="1"/>
  <c r="P5" i="1"/>
  <c r="P65" i="1"/>
  <c r="P6" i="1"/>
  <c r="V6" i="1" s="1"/>
  <c r="P7" i="1"/>
  <c r="V7" i="1" s="1"/>
  <c r="P73" i="1"/>
  <c r="P8" i="1"/>
  <c r="V8" i="1" s="1"/>
  <c r="P9" i="1"/>
  <c r="V9" i="1" s="1"/>
  <c r="P10" i="1"/>
  <c r="P11" i="1"/>
  <c r="P80" i="1"/>
  <c r="P56" i="1"/>
  <c r="P12" i="1"/>
  <c r="P57" i="1"/>
  <c r="P13" i="1"/>
  <c r="P74" i="1"/>
  <c r="P81" i="1"/>
  <c r="P66" i="1"/>
  <c r="P58" i="1"/>
  <c r="P14" i="1"/>
  <c r="P15" i="1"/>
  <c r="P16" i="1"/>
  <c r="P17" i="1"/>
  <c r="P18" i="1"/>
  <c r="P19" i="1"/>
  <c r="P20" i="1"/>
  <c r="P75" i="1"/>
  <c r="P76" i="1"/>
  <c r="P21" i="1"/>
  <c r="P22" i="1"/>
  <c r="P67" i="1"/>
  <c r="P23" i="1"/>
  <c r="P68" i="1"/>
  <c r="P59" i="1"/>
  <c r="P24" i="1"/>
  <c r="P25" i="1"/>
  <c r="P26" i="1"/>
  <c r="P69" i="1"/>
  <c r="P27" i="1"/>
  <c r="P28" i="1"/>
  <c r="P60" i="1"/>
  <c r="P61" i="1"/>
  <c r="P29" i="1"/>
  <c r="P30" i="1"/>
  <c r="P62" i="1"/>
  <c r="P31" i="1"/>
  <c r="P32" i="1"/>
  <c r="P33" i="1"/>
  <c r="P34" i="1"/>
  <c r="P35" i="1"/>
  <c r="P36" i="1"/>
  <c r="P77" i="1"/>
  <c r="P37" i="1"/>
  <c r="P38" i="1"/>
  <c r="P39" i="1"/>
  <c r="P40" i="1"/>
  <c r="P41" i="1"/>
  <c r="P42" i="1"/>
  <c r="P43" i="1"/>
  <c r="P44" i="1"/>
  <c r="P78" i="1"/>
  <c r="P45" i="1"/>
  <c r="P46" i="1"/>
  <c r="P47" i="1"/>
  <c r="P48" i="1"/>
  <c r="P70" i="1"/>
  <c r="P63" i="1"/>
  <c r="P49" i="1"/>
  <c r="P50" i="1"/>
  <c r="P71" i="1"/>
  <c r="P79" i="1"/>
  <c r="P51" i="1"/>
  <c r="P52" i="1"/>
  <c r="P53" i="1"/>
  <c r="P54" i="1"/>
  <c r="P72" i="1"/>
  <c r="P55" i="1"/>
  <c r="P64" i="1"/>
  <c r="P2" i="1"/>
  <c r="S2" i="1" s="1"/>
  <c r="O3" i="1"/>
  <c r="O4" i="1"/>
  <c r="O5" i="1"/>
  <c r="O65" i="1"/>
  <c r="O6" i="1"/>
  <c r="O7" i="1"/>
  <c r="O73" i="1"/>
  <c r="O8" i="1"/>
  <c r="O9" i="1"/>
  <c r="O10" i="1"/>
  <c r="O11" i="1"/>
  <c r="O80" i="1"/>
  <c r="O56" i="1"/>
  <c r="O12" i="1"/>
  <c r="O57" i="1"/>
  <c r="O13" i="1"/>
  <c r="O74" i="1"/>
  <c r="O81" i="1"/>
  <c r="O66" i="1"/>
  <c r="O58" i="1"/>
  <c r="O14" i="1"/>
  <c r="O15" i="1"/>
  <c r="O16" i="1"/>
  <c r="O17" i="1"/>
  <c r="O18" i="1"/>
  <c r="O19" i="1"/>
  <c r="O20" i="1"/>
  <c r="O75" i="1"/>
  <c r="O76" i="1"/>
  <c r="O21" i="1"/>
  <c r="O22" i="1"/>
  <c r="O67" i="1"/>
  <c r="O23" i="1"/>
  <c r="O68" i="1"/>
  <c r="O59" i="1"/>
  <c r="O24" i="1"/>
  <c r="O25" i="1"/>
  <c r="O26" i="1"/>
  <c r="O69" i="1"/>
  <c r="O27" i="1"/>
  <c r="O28" i="1"/>
  <c r="O60" i="1"/>
  <c r="O61" i="1"/>
  <c r="O29" i="1"/>
  <c r="O30" i="1"/>
  <c r="O62" i="1"/>
  <c r="O31" i="1"/>
  <c r="O32" i="1"/>
  <c r="O33" i="1"/>
  <c r="O34" i="1"/>
  <c r="O35" i="1"/>
  <c r="O36" i="1"/>
  <c r="O77" i="1"/>
  <c r="O37" i="1"/>
  <c r="O38" i="1"/>
  <c r="O39" i="1"/>
  <c r="O40" i="1"/>
  <c r="O41" i="1"/>
  <c r="O42" i="1"/>
  <c r="O43" i="1"/>
  <c r="O44" i="1"/>
  <c r="O78" i="1"/>
  <c r="O45" i="1"/>
  <c r="O46" i="1"/>
  <c r="O47" i="1"/>
  <c r="O48" i="1"/>
  <c r="O70" i="1"/>
  <c r="O63" i="1"/>
  <c r="O49" i="1"/>
  <c r="O50" i="1"/>
  <c r="O71" i="1"/>
  <c r="O79" i="1"/>
  <c r="O51" i="1"/>
  <c r="O52" i="1"/>
  <c r="O53" i="1"/>
  <c r="O54" i="1"/>
  <c r="O72" i="1"/>
  <c r="O55" i="1"/>
  <c r="O64" i="1"/>
  <c r="B2" i="5" s="1"/>
  <c r="O2" i="1"/>
  <c r="N47" i="1"/>
  <c r="N48" i="1"/>
  <c r="N70" i="1"/>
  <c r="R70" i="1" s="1"/>
  <c r="N63" i="1"/>
  <c r="N49" i="1"/>
  <c r="N50" i="1"/>
  <c r="N71" i="1"/>
  <c r="R71" i="1" s="1"/>
  <c r="N79" i="1"/>
  <c r="R79" i="1" s="1"/>
  <c r="N51" i="1"/>
  <c r="N52" i="1"/>
  <c r="N53" i="1"/>
  <c r="N54" i="1"/>
  <c r="N72" i="1"/>
  <c r="R72" i="1" s="1"/>
  <c r="N55" i="1"/>
  <c r="N64" i="1"/>
  <c r="N80" i="1"/>
  <c r="N56" i="1"/>
  <c r="N12" i="1"/>
  <c r="N57" i="1"/>
  <c r="G8" i="3" s="1"/>
  <c r="N13" i="1"/>
  <c r="N74" i="1"/>
  <c r="N81" i="1"/>
  <c r="N66" i="1"/>
  <c r="N58" i="1"/>
  <c r="N14" i="1"/>
  <c r="N15" i="1"/>
  <c r="N16" i="1"/>
  <c r="N17" i="1"/>
  <c r="N18" i="1"/>
  <c r="N19" i="1"/>
  <c r="N20" i="1"/>
  <c r="N75" i="1"/>
  <c r="N76" i="1"/>
  <c r="N21" i="1"/>
  <c r="N22" i="1"/>
  <c r="N67" i="1"/>
  <c r="N23" i="1"/>
  <c r="N68" i="1"/>
  <c r="N59" i="1"/>
  <c r="G11" i="3" s="1"/>
  <c r="N24" i="1"/>
  <c r="N25" i="1"/>
  <c r="N26" i="1"/>
  <c r="N69" i="1"/>
  <c r="R69" i="1" s="1"/>
  <c r="N27" i="1"/>
  <c r="N28" i="1"/>
  <c r="N60" i="1"/>
  <c r="R60" i="1" s="1"/>
  <c r="N61" i="1"/>
  <c r="N29" i="1"/>
  <c r="N30" i="1"/>
  <c r="N62" i="1"/>
  <c r="N31" i="1"/>
  <c r="N32" i="1"/>
  <c r="N33" i="1"/>
  <c r="N34" i="1"/>
  <c r="N35" i="1"/>
  <c r="N36" i="1"/>
  <c r="N77" i="1"/>
  <c r="R77" i="1" s="1"/>
  <c r="N37" i="1"/>
  <c r="N38" i="1"/>
  <c r="N39" i="1"/>
  <c r="N40" i="1"/>
  <c r="N41" i="1"/>
  <c r="N42" i="1"/>
  <c r="N43" i="1"/>
  <c r="N44" i="1"/>
  <c r="N78" i="1"/>
  <c r="N45" i="1"/>
  <c r="N46" i="1"/>
  <c r="N3" i="1"/>
  <c r="N4" i="1"/>
  <c r="N5" i="1"/>
  <c r="N65" i="1"/>
  <c r="N6" i="1"/>
  <c r="N7" i="1"/>
  <c r="N73" i="1"/>
  <c r="N8" i="1"/>
  <c r="N9" i="1"/>
  <c r="N10" i="1"/>
  <c r="N11" i="1"/>
  <c r="N2" i="1"/>
  <c r="B84" i="1"/>
  <c r="B83" i="1"/>
  <c r="B3" i="5" l="1"/>
  <c r="B4" i="5"/>
  <c r="B5" i="5"/>
  <c r="R63" i="1"/>
  <c r="G13" i="3"/>
  <c r="R64" i="1"/>
  <c r="G9" i="3"/>
  <c r="R61" i="1"/>
  <c r="G7" i="3"/>
  <c r="R78" i="1"/>
  <c r="G15" i="3"/>
  <c r="C3" i="5"/>
  <c r="D3" i="5" s="1"/>
  <c r="R62" i="1"/>
  <c r="V3" i="1"/>
  <c r="U3" i="1"/>
  <c r="T3" i="1"/>
  <c r="S3" i="1"/>
  <c r="G10" i="3"/>
  <c r="D10" i="3"/>
  <c r="V4" i="1"/>
  <c r="U4" i="1"/>
  <c r="T4" i="1"/>
  <c r="S4" i="1"/>
  <c r="G16" i="3"/>
  <c r="D16" i="3"/>
  <c r="E16" i="3" s="1"/>
  <c r="I16" i="3" s="1"/>
  <c r="V5" i="1"/>
  <c r="U5" i="1"/>
  <c r="T5" i="1"/>
  <c r="S5" i="1"/>
  <c r="D12" i="3"/>
  <c r="E12" i="3" s="1"/>
  <c r="G12" i="3"/>
  <c r="H4" i="5"/>
  <c r="H3" i="5"/>
  <c r="S65" i="1"/>
  <c r="T65" i="1"/>
  <c r="C12" i="5"/>
  <c r="D12" i="5" s="1"/>
  <c r="S6" i="1"/>
  <c r="U6" i="1"/>
  <c r="T6" i="1"/>
  <c r="S7" i="1"/>
  <c r="U7" i="1"/>
  <c r="T7" i="1"/>
  <c r="S73" i="1"/>
  <c r="T73" i="1"/>
  <c r="U8" i="1"/>
  <c r="S8" i="1"/>
  <c r="T8" i="1"/>
  <c r="U9" i="1"/>
  <c r="S9" i="1"/>
  <c r="T9" i="1"/>
  <c r="U10" i="1"/>
  <c r="V10" i="1"/>
  <c r="S10" i="1"/>
  <c r="T10" i="1"/>
  <c r="U11" i="1"/>
  <c r="V11" i="1"/>
  <c r="S11" i="1"/>
  <c r="T11" i="1"/>
  <c r="S80" i="1"/>
  <c r="T80" i="1"/>
  <c r="T56" i="1"/>
  <c r="S56" i="1"/>
  <c r="T12" i="1"/>
  <c r="S12" i="1"/>
  <c r="U12" i="1"/>
  <c r="V12" i="1"/>
  <c r="S57" i="1"/>
  <c r="T57" i="1"/>
  <c r="S13" i="1"/>
  <c r="V13" i="1"/>
  <c r="T13" i="1"/>
  <c r="U13" i="1"/>
  <c r="T74" i="1"/>
  <c r="S74" i="1"/>
  <c r="S81" i="1"/>
  <c r="T81" i="1"/>
  <c r="T66" i="1"/>
  <c r="S66" i="1"/>
  <c r="S58" i="1"/>
  <c r="T58" i="1"/>
  <c r="T14" i="1"/>
  <c r="V14" i="1"/>
  <c r="S14" i="1"/>
  <c r="U14" i="1"/>
  <c r="V15" i="1"/>
  <c r="T15" i="1"/>
  <c r="S15" i="1"/>
  <c r="U15" i="1"/>
  <c r="T16" i="1"/>
  <c r="V16" i="1"/>
  <c r="S16" i="1"/>
  <c r="U16" i="1"/>
  <c r="S17" i="1"/>
  <c r="T17" i="1"/>
  <c r="V17" i="1"/>
  <c r="U17" i="1"/>
  <c r="V18" i="1"/>
  <c r="T18" i="1"/>
  <c r="S18" i="1"/>
  <c r="U18" i="1"/>
  <c r="V19" i="1"/>
  <c r="S19" i="1"/>
  <c r="T19" i="1"/>
  <c r="U19" i="1"/>
  <c r="V20" i="1"/>
  <c r="U20" i="1"/>
  <c r="T20" i="1"/>
  <c r="S20" i="1"/>
  <c r="T75" i="1"/>
  <c r="S75" i="1"/>
  <c r="T76" i="1"/>
  <c r="S76" i="1"/>
  <c r="S21" i="1"/>
  <c r="U21" i="1"/>
  <c r="T21" i="1"/>
  <c r="V21" i="1"/>
  <c r="U22" i="1"/>
  <c r="T22" i="1"/>
  <c r="S22" i="1"/>
  <c r="V22" i="1"/>
  <c r="T67" i="1"/>
  <c r="S67" i="1"/>
  <c r="T23" i="1"/>
  <c r="U23" i="1"/>
  <c r="V23" i="1"/>
  <c r="S23" i="1"/>
  <c r="T68" i="1"/>
  <c r="S68" i="1"/>
  <c r="S59" i="1"/>
  <c r="T59" i="1"/>
  <c r="C9" i="5"/>
  <c r="D9" i="5" s="1"/>
  <c r="U24" i="1"/>
  <c r="T24" i="1"/>
  <c r="S24" i="1"/>
  <c r="V24" i="1"/>
  <c r="R25" i="1"/>
  <c r="S25" i="1"/>
  <c r="Q25" i="1"/>
  <c r="V25" i="1"/>
  <c r="U25" i="1"/>
  <c r="T25" i="1"/>
  <c r="R26" i="1"/>
  <c r="S26" i="1"/>
  <c r="U26" i="1"/>
  <c r="Q26" i="1"/>
  <c r="V26" i="1"/>
  <c r="T26" i="1"/>
  <c r="S69" i="1"/>
  <c r="Q69" i="1"/>
  <c r="T69" i="1"/>
  <c r="S27" i="1"/>
  <c r="R27" i="1"/>
  <c r="U27" i="1"/>
  <c r="Q27" i="1"/>
  <c r="V27" i="1"/>
  <c r="T27" i="1"/>
  <c r="U28" i="1"/>
  <c r="V28" i="1"/>
  <c r="S28" i="1"/>
  <c r="Q28" i="1"/>
  <c r="R28" i="1"/>
  <c r="T28" i="1"/>
  <c r="S60" i="1"/>
  <c r="C8" i="5"/>
  <c r="D8" i="5" s="1"/>
  <c r="T60" i="1"/>
  <c r="Q60" i="1"/>
  <c r="U60" i="1" s="1"/>
  <c r="V60" i="1" s="1"/>
  <c r="T61" i="1"/>
  <c r="Q61" i="1"/>
  <c r="U61" i="1" s="1"/>
  <c r="V61" i="1" s="1"/>
  <c r="S61" i="1"/>
  <c r="S29" i="1"/>
  <c r="T29" i="1"/>
  <c r="R29" i="1"/>
  <c r="Q29" i="1"/>
  <c r="V29" i="1"/>
  <c r="U29" i="1"/>
  <c r="T30" i="1"/>
  <c r="S30" i="1"/>
  <c r="V30" i="1"/>
  <c r="R30" i="1"/>
  <c r="Q30" i="1"/>
  <c r="U30" i="1"/>
  <c r="T62" i="1"/>
  <c r="S62" i="1"/>
  <c r="Q62" i="1"/>
  <c r="V31" i="1"/>
  <c r="R31" i="1"/>
  <c r="Q31" i="1"/>
  <c r="T31" i="1"/>
  <c r="U31" i="1"/>
  <c r="S31" i="1"/>
  <c r="R32" i="1"/>
  <c r="V32" i="1"/>
  <c r="U32" i="1"/>
  <c r="S32" i="1"/>
  <c r="Q32" i="1"/>
  <c r="T32" i="1"/>
  <c r="Q33" i="1"/>
  <c r="T33" i="1"/>
  <c r="V33" i="1"/>
  <c r="U33" i="1"/>
  <c r="R33" i="1"/>
  <c r="S33" i="1"/>
  <c r="V34" i="1"/>
  <c r="R34" i="1"/>
  <c r="T34" i="1"/>
  <c r="S34" i="1"/>
  <c r="U34" i="1"/>
  <c r="Q34" i="1"/>
  <c r="S35" i="1"/>
  <c r="T35" i="1"/>
  <c r="U35" i="1"/>
  <c r="V35" i="1"/>
  <c r="Q35" i="1"/>
  <c r="R35" i="1"/>
  <c r="S36" i="1"/>
  <c r="U36" i="1"/>
  <c r="T36" i="1"/>
  <c r="Q36" i="1"/>
  <c r="V36" i="1"/>
  <c r="R36" i="1"/>
  <c r="S77" i="1"/>
  <c r="T77" i="1"/>
  <c r="Q77" i="1"/>
  <c r="U77" i="1" s="1"/>
  <c r="V77" i="1" s="1"/>
  <c r="T37" i="1"/>
  <c r="U37" i="1"/>
  <c r="V37" i="1"/>
  <c r="Q37" i="1"/>
  <c r="R37" i="1"/>
  <c r="S37" i="1"/>
  <c r="T38" i="1"/>
  <c r="Q38" i="1"/>
  <c r="S38" i="1"/>
  <c r="R38" i="1"/>
  <c r="V38" i="1"/>
  <c r="U38" i="1"/>
  <c r="V39" i="1"/>
  <c r="R39" i="1"/>
  <c r="Q39" i="1"/>
  <c r="U39" i="1"/>
  <c r="T39" i="1"/>
  <c r="S39" i="1"/>
  <c r="T40" i="1"/>
  <c r="S40" i="1"/>
  <c r="V40" i="1"/>
  <c r="Q40" i="1"/>
  <c r="R40" i="1"/>
  <c r="U40" i="1"/>
  <c r="Q41" i="1"/>
  <c r="T41" i="1"/>
  <c r="R41" i="1"/>
  <c r="U41" i="1"/>
  <c r="S41" i="1"/>
  <c r="V41" i="1"/>
  <c r="V42" i="1"/>
  <c r="U42" i="1"/>
  <c r="R42" i="1"/>
  <c r="T42" i="1"/>
  <c r="S42" i="1"/>
  <c r="Q42" i="1"/>
  <c r="V43" i="1"/>
  <c r="T43" i="1"/>
  <c r="R43" i="1"/>
  <c r="U43" i="1"/>
  <c r="S43" i="1"/>
  <c r="Q43" i="1"/>
  <c r="T44" i="1"/>
  <c r="S44" i="1"/>
  <c r="U44" i="1"/>
  <c r="R44" i="1"/>
  <c r="V44" i="1"/>
  <c r="Q44" i="1"/>
  <c r="Q78" i="1"/>
  <c r="S78" i="1"/>
  <c r="T78" i="1"/>
  <c r="S45" i="1"/>
  <c r="R45" i="1"/>
  <c r="V45" i="1"/>
  <c r="U45" i="1"/>
  <c r="T45" i="1"/>
  <c r="Q45" i="1"/>
  <c r="S46" i="1"/>
  <c r="V46" i="1"/>
  <c r="U46" i="1"/>
  <c r="T46" i="1"/>
  <c r="R46" i="1"/>
  <c r="Q46" i="1"/>
  <c r="R47" i="1"/>
  <c r="U47" i="1"/>
  <c r="V47" i="1"/>
  <c r="T47" i="1"/>
  <c r="S47" i="1"/>
  <c r="Q47" i="1"/>
  <c r="U48" i="1"/>
  <c r="S48" i="1"/>
  <c r="V48" i="1"/>
  <c r="T48" i="1"/>
  <c r="R48" i="1"/>
  <c r="Q48" i="1"/>
  <c r="T70" i="1"/>
  <c r="S70" i="1"/>
  <c r="Q70" i="1"/>
  <c r="U70" i="1" s="1"/>
  <c r="V70" i="1" s="1"/>
  <c r="T63" i="1"/>
  <c r="S63" i="1"/>
  <c r="Q63" i="1"/>
  <c r="U63" i="1" s="1"/>
  <c r="V63" i="1" s="1"/>
  <c r="R49" i="1"/>
  <c r="V49" i="1"/>
  <c r="U49" i="1"/>
  <c r="S49" i="1"/>
  <c r="T49" i="1"/>
  <c r="Q49" i="1"/>
  <c r="V50" i="1"/>
  <c r="R50" i="1"/>
  <c r="U50" i="1"/>
  <c r="T50" i="1"/>
  <c r="S50" i="1"/>
  <c r="Q50" i="1"/>
  <c r="T71" i="1"/>
  <c r="S71" i="1"/>
  <c r="Q71" i="1"/>
  <c r="U71" i="1" s="1"/>
  <c r="V71" i="1" s="1"/>
  <c r="S79" i="1"/>
  <c r="T79" i="1"/>
  <c r="Q79" i="1"/>
  <c r="U79" i="1" s="1"/>
  <c r="V79" i="1" s="1"/>
  <c r="S51" i="1"/>
  <c r="T51" i="1"/>
  <c r="Q51" i="1"/>
  <c r="R51" i="1"/>
  <c r="V51" i="1"/>
  <c r="U51" i="1"/>
  <c r="S52" i="1"/>
  <c r="U52" i="1"/>
  <c r="T52" i="1"/>
  <c r="R52" i="1"/>
  <c r="V52" i="1"/>
  <c r="Q52" i="1"/>
  <c r="S53" i="1"/>
  <c r="Q53" i="1"/>
  <c r="U53" i="1"/>
  <c r="T53" i="1"/>
  <c r="R53" i="1"/>
  <c r="V53" i="1"/>
  <c r="S54" i="1"/>
  <c r="V54" i="1"/>
  <c r="U54" i="1"/>
  <c r="T54" i="1"/>
  <c r="R54" i="1"/>
  <c r="Q54" i="1"/>
  <c r="S72" i="1"/>
  <c r="Q72" i="1"/>
  <c r="U72" i="1" s="1"/>
  <c r="V72" i="1" s="1"/>
  <c r="T72" i="1"/>
  <c r="S55" i="1"/>
  <c r="V55" i="1"/>
  <c r="U55" i="1"/>
  <c r="T55" i="1"/>
  <c r="R55" i="1"/>
  <c r="Q55" i="1"/>
  <c r="S64" i="1"/>
  <c r="Q64" i="1"/>
  <c r="U64" i="1" s="1"/>
  <c r="V64" i="1" s="1"/>
  <c r="T64" i="1"/>
  <c r="C2" i="5"/>
  <c r="D2" i="5" s="1"/>
  <c r="C5" i="5"/>
  <c r="C4" i="5"/>
  <c r="D4" i="5" s="1"/>
  <c r="C17" i="3"/>
  <c r="R3" i="1"/>
  <c r="Q3" i="1"/>
  <c r="R4" i="1"/>
  <c r="Q4" i="1"/>
  <c r="R5" i="1"/>
  <c r="Q5" i="1"/>
  <c r="R65" i="1"/>
  <c r="Q65" i="1"/>
  <c r="R6" i="1"/>
  <c r="Q6" i="1"/>
  <c r="R7" i="1"/>
  <c r="Q7" i="1"/>
  <c r="R73" i="1"/>
  <c r="Q73" i="1"/>
  <c r="R8" i="1"/>
  <c r="Q8" i="1"/>
  <c r="R9" i="1"/>
  <c r="Q9" i="1"/>
  <c r="R10" i="1"/>
  <c r="Q10" i="1"/>
  <c r="R11" i="1"/>
  <c r="Q11" i="1"/>
  <c r="R80" i="1"/>
  <c r="Q80" i="1"/>
  <c r="Q56" i="1"/>
  <c r="R56" i="1"/>
  <c r="Q12" i="1"/>
  <c r="R12" i="1"/>
  <c r="R57" i="1"/>
  <c r="Q57" i="1"/>
  <c r="R13" i="1"/>
  <c r="Q13" i="1"/>
  <c r="R74" i="1"/>
  <c r="Q74" i="1"/>
  <c r="R81" i="1"/>
  <c r="Q81" i="1"/>
  <c r="R66" i="1"/>
  <c r="Q66" i="1"/>
  <c r="R58" i="1"/>
  <c r="Q58" i="1"/>
  <c r="C13" i="5"/>
  <c r="D13" i="5" s="1"/>
  <c r="Q14" i="1"/>
  <c r="R14" i="1"/>
  <c r="Q15" i="1"/>
  <c r="R15" i="1"/>
  <c r="Q16" i="1"/>
  <c r="R16" i="1"/>
  <c r="Q17" i="1"/>
  <c r="R17" i="1"/>
  <c r="Q18" i="1"/>
  <c r="R18" i="1"/>
  <c r="Q19" i="1"/>
  <c r="R19" i="1"/>
  <c r="R20" i="1"/>
  <c r="Q20" i="1"/>
  <c r="Q75" i="1"/>
  <c r="R75" i="1"/>
  <c r="Q76" i="1"/>
  <c r="R76" i="1"/>
  <c r="R21" i="1"/>
  <c r="Q21" i="1"/>
  <c r="R22" i="1"/>
  <c r="Q22" i="1"/>
  <c r="Q67" i="1"/>
  <c r="R67" i="1"/>
  <c r="Q23" i="1"/>
  <c r="R23" i="1"/>
  <c r="Q68" i="1"/>
  <c r="R68" i="1"/>
  <c r="Q59" i="1"/>
  <c r="R59" i="1"/>
  <c r="R24" i="1"/>
  <c r="Q24" i="1"/>
  <c r="E13" i="3"/>
  <c r="E15" i="3"/>
  <c r="E7" i="3"/>
  <c r="E14" i="3"/>
  <c r="E9" i="3"/>
  <c r="E11" i="3"/>
  <c r="I13" i="3"/>
  <c r="I14" i="3"/>
  <c r="I15" i="3"/>
  <c r="I7" i="3"/>
  <c r="E8" i="3"/>
  <c r="I9" i="3"/>
  <c r="I11" i="3"/>
  <c r="U62" i="1" l="1"/>
  <c r="V62" i="1" s="1"/>
  <c r="D5" i="5"/>
  <c r="H16" i="3"/>
  <c r="U73" i="1"/>
  <c r="V73" i="1" s="1"/>
  <c r="U57" i="1"/>
  <c r="V57" i="1" s="1"/>
  <c r="U81" i="1"/>
  <c r="V81" i="1" s="1"/>
  <c r="U65" i="1"/>
  <c r="V65" i="1" s="1"/>
  <c r="U80" i="1"/>
  <c r="V80" i="1" s="1"/>
  <c r="U74" i="1"/>
  <c r="V74" i="1" s="1"/>
  <c r="U66" i="1"/>
  <c r="V66" i="1" s="1"/>
  <c r="H7" i="3" s="1"/>
  <c r="U58" i="1"/>
  <c r="V58" i="1" s="1"/>
  <c r="H12" i="3" s="1"/>
  <c r="E10" i="3"/>
  <c r="D17" i="3"/>
  <c r="J12" i="3"/>
  <c r="I12" i="3"/>
  <c r="H14" i="3"/>
  <c r="U69" i="1"/>
  <c r="V69" i="1" s="1"/>
  <c r="U78" i="1"/>
  <c r="V78" i="1" s="1"/>
  <c r="U76" i="1"/>
  <c r="V76" i="1" s="1"/>
  <c r="U67" i="1"/>
  <c r="V67" i="1" s="1"/>
  <c r="U68" i="1"/>
  <c r="V68" i="1" s="1"/>
  <c r="U56" i="1"/>
  <c r="V56" i="1" s="1"/>
  <c r="U59" i="1"/>
  <c r="V59" i="1" s="1"/>
  <c r="U75" i="1"/>
  <c r="V75" i="1" s="1"/>
  <c r="I8" i="3"/>
  <c r="H15" i="3" l="1"/>
  <c r="H10" i="3"/>
  <c r="H11" i="3"/>
  <c r="H8" i="3"/>
  <c r="G9" i="5"/>
  <c r="G8" i="5"/>
  <c r="J11" i="3"/>
  <c r="J10" i="3"/>
  <c r="I10" i="3"/>
  <c r="J9" i="3"/>
  <c r="H9" i="3"/>
  <c r="J13" i="3"/>
  <c r="J14" i="3"/>
  <c r="J15" i="3"/>
  <c r="J16" i="3"/>
  <c r="J7" i="3"/>
  <c r="J8" i="3"/>
  <c r="H13" i="3"/>
  <c r="G10" i="5"/>
  <c r="H9" i="5" l="1"/>
  <c r="H17" i="3"/>
  <c r="H8" i="5"/>
  <c r="H10" i="5"/>
</calcChain>
</file>

<file path=xl/sharedStrings.xml><?xml version="1.0" encoding="utf-8"?>
<sst xmlns="http://schemas.openxmlformats.org/spreadsheetml/2006/main" count="886" uniqueCount="193">
  <si>
    <t>Patient_ID</t>
  </si>
  <si>
    <t>Age</t>
  </si>
  <si>
    <t>Gender</t>
  </si>
  <si>
    <t>Drug</t>
  </si>
  <si>
    <t>Drug_Class</t>
  </si>
  <si>
    <t>Daily_Dose_mg</t>
  </si>
  <si>
    <t>Start_Date</t>
  </si>
  <si>
    <t>Reaction</t>
  </si>
  <si>
    <t>Onset_Date</t>
  </si>
  <si>
    <t>Severity</t>
  </si>
  <si>
    <t>Dechallenge</t>
  </si>
  <si>
    <t>Concomitant_Drug</t>
  </si>
  <si>
    <t>Outcome</t>
  </si>
  <si>
    <t>P001</t>
  </si>
  <si>
    <t>Male</t>
  </si>
  <si>
    <t>Omeprazole</t>
  </si>
  <si>
    <t>Proton Pump Inhibitor</t>
  </si>
  <si>
    <t>None</t>
  </si>
  <si>
    <t>NA</t>
  </si>
  <si>
    <t>No reaction</t>
  </si>
  <si>
    <t>P002</t>
  </si>
  <si>
    <t>Metformin</t>
  </si>
  <si>
    <t>Antidiabetic</t>
  </si>
  <si>
    <t>P003</t>
  </si>
  <si>
    <t>Female</t>
  </si>
  <si>
    <t>P004</t>
  </si>
  <si>
    <t>Amlodipine</t>
  </si>
  <si>
    <t>Calcium Channel Blocker</t>
  </si>
  <si>
    <t>Clarithromycin</t>
  </si>
  <si>
    <t>P005</t>
  </si>
  <si>
    <t>Enalapril</t>
  </si>
  <si>
    <t>ACE Inhibitor</t>
  </si>
  <si>
    <t>Dry Cough</t>
  </si>
  <si>
    <t>Mild</t>
  </si>
  <si>
    <t>Yes</t>
  </si>
  <si>
    <t>Ibuprofen</t>
  </si>
  <si>
    <t>Recovered</t>
  </si>
  <si>
    <t>P006</t>
  </si>
  <si>
    <t>Atorvastatin</t>
  </si>
  <si>
    <t>Statin</t>
  </si>
  <si>
    <t>P007</t>
  </si>
  <si>
    <t>Paracetamol</t>
  </si>
  <si>
    <t>Analgesic</t>
  </si>
  <si>
    <t>P008</t>
  </si>
  <si>
    <t>Diclofenac</t>
  </si>
  <si>
    <t>NSAID</t>
  </si>
  <si>
    <t>GI Bleeding</t>
  </si>
  <si>
    <t>Severe</t>
  </si>
  <si>
    <t>No</t>
  </si>
  <si>
    <t>Hospitalized</t>
  </si>
  <si>
    <t>P009</t>
  </si>
  <si>
    <t>P010</t>
  </si>
  <si>
    <t>P011</t>
  </si>
  <si>
    <t>Aspirin</t>
  </si>
  <si>
    <t>P012</t>
  </si>
  <si>
    <t>P013</t>
  </si>
  <si>
    <t>Ciprofloxacin</t>
  </si>
  <si>
    <t>Fluoroquinolone</t>
  </si>
  <si>
    <t>Tendon Pain</t>
  </si>
  <si>
    <t>P014</t>
  </si>
  <si>
    <t>Nausea</t>
  </si>
  <si>
    <t>P015</t>
  </si>
  <si>
    <t>P016</t>
  </si>
  <si>
    <t>Amoxicillin</t>
  </si>
  <si>
    <t>Antibiotic</t>
  </si>
  <si>
    <t>Diarrhea</t>
  </si>
  <si>
    <t>Recovering</t>
  </si>
  <si>
    <t>P017</t>
  </si>
  <si>
    <t>P018</t>
  </si>
  <si>
    <t>Lactic Acidosis</t>
  </si>
  <si>
    <t>P019</t>
  </si>
  <si>
    <t>Warfarin</t>
  </si>
  <si>
    <t>Anticoagulant</t>
  </si>
  <si>
    <t>Bruising</t>
  </si>
  <si>
    <t>P020</t>
  </si>
  <si>
    <t>Gastritis</t>
  </si>
  <si>
    <t>P021</t>
  </si>
  <si>
    <t>Ankle Edema</t>
  </si>
  <si>
    <t>Not Recovered</t>
  </si>
  <si>
    <t>P022</t>
  </si>
  <si>
    <t>P023</t>
  </si>
  <si>
    <t>P024</t>
  </si>
  <si>
    <t>P025</t>
  </si>
  <si>
    <t>P026</t>
  </si>
  <si>
    <t>P027</t>
  </si>
  <si>
    <t>P028</t>
  </si>
  <si>
    <t>P029</t>
  </si>
  <si>
    <t>P030</t>
  </si>
  <si>
    <t>Elevated Liver Enzymes</t>
  </si>
  <si>
    <t>Moderate</t>
  </si>
  <si>
    <t>P031</t>
  </si>
  <si>
    <t>P032</t>
  </si>
  <si>
    <t>P033</t>
  </si>
  <si>
    <t>P034</t>
  </si>
  <si>
    <t>P035</t>
  </si>
  <si>
    <t>Myalgia</t>
  </si>
  <si>
    <t>P036</t>
  </si>
  <si>
    <t>P037</t>
  </si>
  <si>
    <t>P038</t>
  </si>
  <si>
    <t>P039</t>
  </si>
  <si>
    <t>P040</t>
  </si>
  <si>
    <t>P041</t>
  </si>
  <si>
    <t>P042</t>
  </si>
  <si>
    <t>P043</t>
  </si>
  <si>
    <t>Hyperkalemia</t>
  </si>
  <si>
    <t>P044</t>
  </si>
  <si>
    <t>P045</t>
  </si>
  <si>
    <t>P046</t>
  </si>
  <si>
    <t>P047</t>
  </si>
  <si>
    <t>Skin Rash</t>
  </si>
  <si>
    <t>P048</t>
  </si>
  <si>
    <t>P049</t>
  </si>
  <si>
    <t>P050</t>
  </si>
  <si>
    <t>P051</t>
  </si>
  <si>
    <t>P052</t>
  </si>
  <si>
    <t>P053</t>
  </si>
  <si>
    <t>P054</t>
  </si>
  <si>
    <t>P055</t>
  </si>
  <si>
    <t>P056</t>
  </si>
  <si>
    <t>P057</t>
  </si>
  <si>
    <t>P058</t>
  </si>
  <si>
    <t>P059</t>
  </si>
  <si>
    <t>P060</t>
  </si>
  <si>
    <t>P061</t>
  </si>
  <si>
    <t>P062</t>
  </si>
  <si>
    <t>P063</t>
  </si>
  <si>
    <t>P064</t>
  </si>
  <si>
    <t>P065</t>
  </si>
  <si>
    <t>P066</t>
  </si>
  <si>
    <t>P067</t>
  </si>
  <si>
    <t>P068</t>
  </si>
  <si>
    <t>P069</t>
  </si>
  <si>
    <t>P070</t>
  </si>
  <si>
    <t>P071</t>
  </si>
  <si>
    <t>P072</t>
  </si>
  <si>
    <t>Headache</t>
  </si>
  <si>
    <t>P073</t>
  </si>
  <si>
    <t>P074</t>
  </si>
  <si>
    <t>P075</t>
  </si>
  <si>
    <t>P076</t>
  </si>
  <si>
    <t>P077</t>
  </si>
  <si>
    <t>P078</t>
  </si>
  <si>
    <t>P079</t>
  </si>
  <si>
    <t>P080</t>
  </si>
  <si>
    <t>Documented_Reaction</t>
  </si>
  <si>
    <t>Anaphylaxis</t>
  </si>
  <si>
    <t>Angioedema</t>
  </si>
  <si>
    <t>Bleeding</t>
  </si>
  <si>
    <t>QT Prolongation</t>
  </si>
  <si>
    <t>Reference list of documented drug-reaction pairs (assumed for this exercise; verify with a drug label / WHO-UMC / SIDER).</t>
  </si>
  <si>
    <t>Min age</t>
  </si>
  <si>
    <t>Max age</t>
  </si>
  <si>
    <t>Days to onset</t>
  </si>
  <si>
    <t>Age group</t>
  </si>
  <si>
    <t>ADR flag</t>
  </si>
  <si>
    <t>Known pts</t>
  </si>
  <si>
    <t>Temporal pts</t>
  </si>
  <si>
    <t>Dechallenge pts</t>
  </si>
  <si>
    <t>Altcause pts</t>
  </si>
  <si>
    <t>Causality score</t>
  </si>
  <si>
    <t>Causality category</t>
  </si>
  <si>
    <t>Title</t>
  </si>
  <si>
    <t>High risk threshold</t>
  </si>
  <si>
    <t>Medium risk threshold</t>
  </si>
  <si>
    <t>Drug class</t>
  </si>
  <si>
    <t>Total patients</t>
  </si>
  <si>
    <t>ADR Cases</t>
  </si>
  <si>
    <t>ADR rate</t>
  </si>
  <si>
    <t>Severe cases</t>
  </si>
  <si>
    <t>Avg days to onset</t>
  </si>
  <si>
    <t>Probable causality</t>
  </si>
  <si>
    <t>Risk level</t>
  </si>
  <si>
    <t>Risk rank</t>
  </si>
  <si>
    <t>Total</t>
  </si>
  <si>
    <t>Row Labels</t>
  </si>
  <si>
    <t>Grand Total</t>
  </si>
  <si>
    <t>Column Labels</t>
  </si>
  <si>
    <t>Count of Patient_ID</t>
  </si>
  <si>
    <t>Patients</t>
  </si>
  <si>
    <t>ADR cases</t>
  </si>
  <si>
    <t>Under 18</t>
  </si>
  <si>
    <t>60 and above</t>
  </si>
  <si>
    <t>18 to 39</t>
  </si>
  <si>
    <t>40 to 59</t>
  </si>
  <si>
    <t>Concomitant Drug use</t>
  </si>
  <si>
    <t>With concomitant drug</t>
  </si>
  <si>
    <t>Without concomitant drug</t>
  </si>
  <si>
    <t>Cases</t>
  </si>
  <si>
    <t>% of ADRs</t>
  </si>
  <si>
    <t>Causality</t>
  </si>
  <si>
    <t>Probable</t>
  </si>
  <si>
    <t>Possible</t>
  </si>
  <si>
    <t>Unlikely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</si>
</sst>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i/>
      <sz val="9"/>
      <name val="Arial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164" fontId="2" fillId="0" borderId="1" xfId="0" applyNumberFormat="1" applyFont="1" applyBorder="1"/>
    <xf numFmtId="0" fontId="3" fillId="0" borderId="0" xfId="0" applyFont="1"/>
    <xf numFmtId="0" fontId="2" fillId="0" borderId="0" xfId="0" applyFont="1"/>
    <xf numFmtId="0" fontId="1" fillId="2" borderId="2" xfId="0" applyFont="1" applyFill="1" applyBorder="1" applyAlignment="1">
      <alignment horizontal="center" vertical="center" wrapText="1"/>
    </xf>
    <xf numFmtId="9" fontId="0" fillId="0" borderId="0" xfId="1" applyFont="1"/>
    <xf numFmtId="0" fontId="0" fillId="0" borderId="0" xfId="0" pivotButton="1"/>
    <xf numFmtId="0" fontId="0" fillId="0" borderId="0" xfId="0" applyAlignment="1">
      <alignment horizontal="left"/>
    </xf>
  </cellXfs>
  <cellStyles count="2">
    <cellStyle name="Normal" xfId="0" builtinId="0"/>
    <cellStyle name="Percent" xfId="1" builtinId="5"/>
  </cellStyles>
  <dxfs count="4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[ADR_Dataset_Result.xlsx]Reaction matrix!PivotTable1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'Reaction matrix'!$B$3:$B$4</c:f>
              <c:strCache>
                <c:ptCount val="1"/>
                <c:pt idx="0">
                  <c:v>Ankle Edema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'Reaction matrix'!$A$5:$A$14</c:f>
              <c:strCache>
                <c:ptCount val="9"/>
                <c:pt idx="0">
                  <c:v>Amlodipine</c:v>
                </c:pt>
                <c:pt idx="1">
                  <c:v>Amoxicillin</c:v>
                </c:pt>
                <c:pt idx="2">
                  <c:v>Atorvastatin</c:v>
                </c:pt>
                <c:pt idx="3">
                  <c:v>Ciprofloxacin</c:v>
                </c:pt>
                <c:pt idx="4">
                  <c:v>Diclofenac</c:v>
                </c:pt>
                <c:pt idx="5">
                  <c:v>Enalapril</c:v>
                </c:pt>
                <c:pt idx="6">
                  <c:v>Metformin</c:v>
                </c:pt>
                <c:pt idx="7">
                  <c:v>Omeprazole</c:v>
                </c:pt>
                <c:pt idx="8">
                  <c:v>Warfarin</c:v>
                </c:pt>
              </c:strCache>
            </c:strRef>
          </c:cat>
          <c:val>
            <c:numRef>
              <c:f>'Reaction matrix'!$B$5:$B$14</c:f>
              <c:numCache>
                <c:formatCode>General</c:formatCode>
                <c:ptCount val="9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99-491D-B51E-CE845BF7B08F}"/>
            </c:ext>
          </c:extLst>
        </c:ser>
        <c:ser>
          <c:idx val="1"/>
          <c:order val="1"/>
          <c:tx>
            <c:strRef>
              <c:f>'Reaction matrix'!$C$3:$C$4</c:f>
              <c:strCache>
                <c:ptCount val="1"/>
                <c:pt idx="0">
                  <c:v>Bruising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'Reaction matrix'!$A$5:$A$14</c:f>
              <c:strCache>
                <c:ptCount val="9"/>
                <c:pt idx="0">
                  <c:v>Amlodipine</c:v>
                </c:pt>
                <c:pt idx="1">
                  <c:v>Amoxicillin</c:v>
                </c:pt>
                <c:pt idx="2">
                  <c:v>Atorvastatin</c:v>
                </c:pt>
                <c:pt idx="3">
                  <c:v>Ciprofloxacin</c:v>
                </c:pt>
                <c:pt idx="4">
                  <c:v>Diclofenac</c:v>
                </c:pt>
                <c:pt idx="5">
                  <c:v>Enalapril</c:v>
                </c:pt>
                <c:pt idx="6">
                  <c:v>Metformin</c:v>
                </c:pt>
                <c:pt idx="7">
                  <c:v>Omeprazole</c:v>
                </c:pt>
                <c:pt idx="8">
                  <c:v>Warfarin</c:v>
                </c:pt>
              </c:strCache>
            </c:strRef>
          </c:cat>
          <c:val>
            <c:numRef>
              <c:f>'Reaction matrix'!$C$5:$C$14</c:f>
              <c:numCache>
                <c:formatCode>General</c:formatCode>
                <c:ptCount val="9"/>
                <c:pt idx="8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E99-491D-B51E-CE845BF7B08F}"/>
            </c:ext>
          </c:extLst>
        </c:ser>
        <c:ser>
          <c:idx val="2"/>
          <c:order val="2"/>
          <c:tx>
            <c:strRef>
              <c:f>'Reaction matrix'!$D$3:$D$4</c:f>
              <c:strCache>
                <c:ptCount val="1"/>
                <c:pt idx="0">
                  <c:v>Diarrhea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'Reaction matrix'!$A$5:$A$14</c:f>
              <c:strCache>
                <c:ptCount val="9"/>
                <c:pt idx="0">
                  <c:v>Amlodipine</c:v>
                </c:pt>
                <c:pt idx="1">
                  <c:v>Amoxicillin</c:v>
                </c:pt>
                <c:pt idx="2">
                  <c:v>Atorvastatin</c:v>
                </c:pt>
                <c:pt idx="3">
                  <c:v>Ciprofloxacin</c:v>
                </c:pt>
                <c:pt idx="4">
                  <c:v>Diclofenac</c:v>
                </c:pt>
                <c:pt idx="5">
                  <c:v>Enalapril</c:v>
                </c:pt>
                <c:pt idx="6">
                  <c:v>Metformin</c:v>
                </c:pt>
                <c:pt idx="7">
                  <c:v>Omeprazole</c:v>
                </c:pt>
                <c:pt idx="8">
                  <c:v>Warfarin</c:v>
                </c:pt>
              </c:strCache>
            </c:strRef>
          </c:cat>
          <c:val>
            <c:numRef>
              <c:f>'Reaction matrix'!$D$5:$D$14</c:f>
              <c:numCache>
                <c:formatCode>General</c:formatCode>
                <c:ptCount val="9"/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E99-491D-B51E-CE845BF7B08F}"/>
            </c:ext>
          </c:extLst>
        </c:ser>
        <c:ser>
          <c:idx val="3"/>
          <c:order val="3"/>
          <c:tx>
            <c:strRef>
              <c:f>'Reaction matrix'!$E$3:$E$4</c:f>
              <c:strCache>
                <c:ptCount val="1"/>
                <c:pt idx="0">
                  <c:v>Dry Cough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'Reaction matrix'!$A$5:$A$14</c:f>
              <c:strCache>
                <c:ptCount val="9"/>
                <c:pt idx="0">
                  <c:v>Amlodipine</c:v>
                </c:pt>
                <c:pt idx="1">
                  <c:v>Amoxicillin</c:v>
                </c:pt>
                <c:pt idx="2">
                  <c:v>Atorvastatin</c:v>
                </c:pt>
                <c:pt idx="3">
                  <c:v>Ciprofloxacin</c:v>
                </c:pt>
                <c:pt idx="4">
                  <c:v>Diclofenac</c:v>
                </c:pt>
                <c:pt idx="5">
                  <c:v>Enalapril</c:v>
                </c:pt>
                <c:pt idx="6">
                  <c:v>Metformin</c:v>
                </c:pt>
                <c:pt idx="7">
                  <c:v>Omeprazole</c:v>
                </c:pt>
                <c:pt idx="8">
                  <c:v>Warfarin</c:v>
                </c:pt>
              </c:strCache>
            </c:strRef>
          </c:cat>
          <c:val>
            <c:numRef>
              <c:f>'Reaction matrix'!$E$5:$E$14</c:f>
              <c:numCache>
                <c:formatCode>General</c:formatCode>
                <c:ptCount val="9"/>
                <c:pt idx="5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E99-491D-B51E-CE845BF7B08F}"/>
            </c:ext>
          </c:extLst>
        </c:ser>
        <c:ser>
          <c:idx val="4"/>
          <c:order val="4"/>
          <c:tx>
            <c:strRef>
              <c:f>'Reaction matrix'!$F$3:$F$4</c:f>
              <c:strCache>
                <c:ptCount val="1"/>
                <c:pt idx="0">
                  <c:v>Elevated Liver Enzymes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'Reaction matrix'!$A$5:$A$14</c:f>
              <c:strCache>
                <c:ptCount val="9"/>
                <c:pt idx="0">
                  <c:v>Amlodipine</c:v>
                </c:pt>
                <c:pt idx="1">
                  <c:v>Amoxicillin</c:v>
                </c:pt>
                <c:pt idx="2">
                  <c:v>Atorvastatin</c:v>
                </c:pt>
                <c:pt idx="3">
                  <c:v>Ciprofloxacin</c:v>
                </c:pt>
                <c:pt idx="4">
                  <c:v>Diclofenac</c:v>
                </c:pt>
                <c:pt idx="5">
                  <c:v>Enalapril</c:v>
                </c:pt>
                <c:pt idx="6">
                  <c:v>Metformin</c:v>
                </c:pt>
                <c:pt idx="7">
                  <c:v>Omeprazole</c:v>
                </c:pt>
                <c:pt idx="8">
                  <c:v>Warfarin</c:v>
                </c:pt>
              </c:strCache>
            </c:strRef>
          </c:cat>
          <c:val>
            <c:numRef>
              <c:f>'Reaction matrix'!$F$5:$F$14</c:f>
              <c:numCache>
                <c:formatCode>General</c:formatCode>
                <c:ptCount val="9"/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E99-491D-B51E-CE845BF7B08F}"/>
            </c:ext>
          </c:extLst>
        </c:ser>
        <c:ser>
          <c:idx val="5"/>
          <c:order val="5"/>
          <c:tx>
            <c:strRef>
              <c:f>'Reaction matrix'!$G$3:$G$4</c:f>
              <c:strCache>
                <c:ptCount val="1"/>
                <c:pt idx="0">
                  <c:v>Gastritis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'Reaction matrix'!$A$5:$A$14</c:f>
              <c:strCache>
                <c:ptCount val="9"/>
                <c:pt idx="0">
                  <c:v>Amlodipine</c:v>
                </c:pt>
                <c:pt idx="1">
                  <c:v>Amoxicillin</c:v>
                </c:pt>
                <c:pt idx="2">
                  <c:v>Atorvastatin</c:v>
                </c:pt>
                <c:pt idx="3">
                  <c:v>Ciprofloxacin</c:v>
                </c:pt>
                <c:pt idx="4">
                  <c:v>Diclofenac</c:v>
                </c:pt>
                <c:pt idx="5">
                  <c:v>Enalapril</c:v>
                </c:pt>
                <c:pt idx="6">
                  <c:v>Metformin</c:v>
                </c:pt>
                <c:pt idx="7">
                  <c:v>Omeprazole</c:v>
                </c:pt>
                <c:pt idx="8">
                  <c:v>Warfarin</c:v>
                </c:pt>
              </c:strCache>
            </c:strRef>
          </c:cat>
          <c:val>
            <c:numRef>
              <c:f>'Reaction matrix'!$G$5:$G$14</c:f>
              <c:numCache>
                <c:formatCode>General</c:formatCode>
                <c:ptCount val="9"/>
                <c:pt idx="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E99-491D-B51E-CE845BF7B08F}"/>
            </c:ext>
          </c:extLst>
        </c:ser>
        <c:ser>
          <c:idx val="6"/>
          <c:order val="6"/>
          <c:tx>
            <c:strRef>
              <c:f>'Reaction matrix'!$H$3:$H$4</c:f>
              <c:strCache>
                <c:ptCount val="1"/>
                <c:pt idx="0">
                  <c:v>GI Bleeding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'Reaction matrix'!$A$5:$A$14</c:f>
              <c:strCache>
                <c:ptCount val="9"/>
                <c:pt idx="0">
                  <c:v>Amlodipine</c:v>
                </c:pt>
                <c:pt idx="1">
                  <c:v>Amoxicillin</c:v>
                </c:pt>
                <c:pt idx="2">
                  <c:v>Atorvastatin</c:v>
                </c:pt>
                <c:pt idx="3">
                  <c:v>Ciprofloxacin</c:v>
                </c:pt>
                <c:pt idx="4">
                  <c:v>Diclofenac</c:v>
                </c:pt>
                <c:pt idx="5">
                  <c:v>Enalapril</c:v>
                </c:pt>
                <c:pt idx="6">
                  <c:v>Metformin</c:v>
                </c:pt>
                <c:pt idx="7">
                  <c:v>Omeprazole</c:v>
                </c:pt>
                <c:pt idx="8">
                  <c:v>Warfarin</c:v>
                </c:pt>
              </c:strCache>
            </c:strRef>
          </c:cat>
          <c:val>
            <c:numRef>
              <c:f>'Reaction matrix'!$H$5:$H$14</c:f>
              <c:numCache>
                <c:formatCode>General</c:formatCode>
                <c:ptCount val="9"/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E99-491D-B51E-CE845BF7B08F}"/>
            </c:ext>
          </c:extLst>
        </c:ser>
        <c:ser>
          <c:idx val="7"/>
          <c:order val="7"/>
          <c:tx>
            <c:strRef>
              <c:f>'Reaction matrix'!$I$3:$I$4</c:f>
              <c:strCache>
                <c:ptCount val="1"/>
                <c:pt idx="0">
                  <c:v>Headache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'Reaction matrix'!$A$5:$A$14</c:f>
              <c:strCache>
                <c:ptCount val="9"/>
                <c:pt idx="0">
                  <c:v>Amlodipine</c:v>
                </c:pt>
                <c:pt idx="1">
                  <c:v>Amoxicillin</c:v>
                </c:pt>
                <c:pt idx="2">
                  <c:v>Atorvastatin</c:v>
                </c:pt>
                <c:pt idx="3">
                  <c:v>Ciprofloxacin</c:v>
                </c:pt>
                <c:pt idx="4">
                  <c:v>Diclofenac</c:v>
                </c:pt>
                <c:pt idx="5">
                  <c:v>Enalapril</c:v>
                </c:pt>
                <c:pt idx="6">
                  <c:v>Metformin</c:v>
                </c:pt>
                <c:pt idx="7">
                  <c:v>Omeprazole</c:v>
                </c:pt>
                <c:pt idx="8">
                  <c:v>Warfarin</c:v>
                </c:pt>
              </c:strCache>
            </c:strRef>
          </c:cat>
          <c:val>
            <c:numRef>
              <c:f>'Reaction matrix'!$I$5:$I$14</c:f>
              <c:numCache>
                <c:formatCode>General</c:formatCode>
                <c:ptCount val="9"/>
                <c:pt idx="0">
                  <c:v>1</c:v>
                </c:pt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E99-491D-B51E-CE845BF7B08F}"/>
            </c:ext>
          </c:extLst>
        </c:ser>
        <c:ser>
          <c:idx val="8"/>
          <c:order val="8"/>
          <c:tx>
            <c:strRef>
              <c:f>'Reaction matrix'!$J$3:$J$4</c:f>
              <c:strCache>
                <c:ptCount val="1"/>
                <c:pt idx="0">
                  <c:v>Hyperkalemia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'Reaction matrix'!$A$5:$A$14</c:f>
              <c:strCache>
                <c:ptCount val="9"/>
                <c:pt idx="0">
                  <c:v>Amlodipine</c:v>
                </c:pt>
                <c:pt idx="1">
                  <c:v>Amoxicillin</c:v>
                </c:pt>
                <c:pt idx="2">
                  <c:v>Atorvastatin</c:v>
                </c:pt>
                <c:pt idx="3">
                  <c:v>Ciprofloxacin</c:v>
                </c:pt>
                <c:pt idx="4">
                  <c:v>Diclofenac</c:v>
                </c:pt>
                <c:pt idx="5">
                  <c:v>Enalapril</c:v>
                </c:pt>
                <c:pt idx="6">
                  <c:v>Metformin</c:v>
                </c:pt>
                <c:pt idx="7">
                  <c:v>Omeprazole</c:v>
                </c:pt>
                <c:pt idx="8">
                  <c:v>Warfarin</c:v>
                </c:pt>
              </c:strCache>
            </c:strRef>
          </c:cat>
          <c:val>
            <c:numRef>
              <c:f>'Reaction matrix'!$J$5:$J$14</c:f>
              <c:numCache>
                <c:formatCode>General</c:formatCode>
                <c:ptCount val="9"/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E99-491D-B51E-CE845BF7B08F}"/>
            </c:ext>
          </c:extLst>
        </c:ser>
        <c:ser>
          <c:idx val="9"/>
          <c:order val="9"/>
          <c:tx>
            <c:strRef>
              <c:f>'Reaction matrix'!$K$3:$K$4</c:f>
              <c:strCache>
                <c:ptCount val="1"/>
                <c:pt idx="0">
                  <c:v>Lactic Acidosis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'Reaction matrix'!$A$5:$A$14</c:f>
              <c:strCache>
                <c:ptCount val="9"/>
                <c:pt idx="0">
                  <c:v>Amlodipine</c:v>
                </c:pt>
                <c:pt idx="1">
                  <c:v>Amoxicillin</c:v>
                </c:pt>
                <c:pt idx="2">
                  <c:v>Atorvastatin</c:v>
                </c:pt>
                <c:pt idx="3">
                  <c:v>Ciprofloxacin</c:v>
                </c:pt>
                <c:pt idx="4">
                  <c:v>Diclofenac</c:v>
                </c:pt>
                <c:pt idx="5">
                  <c:v>Enalapril</c:v>
                </c:pt>
                <c:pt idx="6">
                  <c:v>Metformin</c:v>
                </c:pt>
                <c:pt idx="7">
                  <c:v>Omeprazole</c:v>
                </c:pt>
                <c:pt idx="8">
                  <c:v>Warfarin</c:v>
                </c:pt>
              </c:strCache>
            </c:strRef>
          </c:cat>
          <c:val>
            <c:numRef>
              <c:f>'Reaction matrix'!$K$5:$K$14</c:f>
              <c:numCache>
                <c:formatCode>General</c:formatCode>
                <c:ptCount val="9"/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AE99-491D-B51E-CE845BF7B08F}"/>
            </c:ext>
          </c:extLst>
        </c:ser>
        <c:ser>
          <c:idx val="10"/>
          <c:order val="10"/>
          <c:tx>
            <c:strRef>
              <c:f>'Reaction matrix'!$L$3:$L$4</c:f>
              <c:strCache>
                <c:ptCount val="1"/>
                <c:pt idx="0">
                  <c:v>Myalgia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'Reaction matrix'!$A$5:$A$14</c:f>
              <c:strCache>
                <c:ptCount val="9"/>
                <c:pt idx="0">
                  <c:v>Amlodipine</c:v>
                </c:pt>
                <c:pt idx="1">
                  <c:v>Amoxicillin</c:v>
                </c:pt>
                <c:pt idx="2">
                  <c:v>Atorvastatin</c:v>
                </c:pt>
                <c:pt idx="3">
                  <c:v>Ciprofloxacin</c:v>
                </c:pt>
                <c:pt idx="4">
                  <c:v>Diclofenac</c:v>
                </c:pt>
                <c:pt idx="5">
                  <c:v>Enalapril</c:v>
                </c:pt>
                <c:pt idx="6">
                  <c:v>Metformin</c:v>
                </c:pt>
                <c:pt idx="7">
                  <c:v>Omeprazole</c:v>
                </c:pt>
                <c:pt idx="8">
                  <c:v>Warfarin</c:v>
                </c:pt>
              </c:strCache>
            </c:strRef>
          </c:cat>
          <c:val>
            <c:numRef>
              <c:f>'Reaction matrix'!$L$5:$L$14</c:f>
              <c:numCache>
                <c:formatCode>General</c:formatCode>
                <c:ptCount val="9"/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AE99-491D-B51E-CE845BF7B08F}"/>
            </c:ext>
          </c:extLst>
        </c:ser>
        <c:ser>
          <c:idx val="11"/>
          <c:order val="11"/>
          <c:tx>
            <c:strRef>
              <c:f>'Reaction matrix'!$M$3:$M$4</c:f>
              <c:strCache>
                <c:ptCount val="1"/>
                <c:pt idx="0">
                  <c:v>Nausea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'Reaction matrix'!$A$5:$A$14</c:f>
              <c:strCache>
                <c:ptCount val="9"/>
                <c:pt idx="0">
                  <c:v>Amlodipine</c:v>
                </c:pt>
                <c:pt idx="1">
                  <c:v>Amoxicillin</c:v>
                </c:pt>
                <c:pt idx="2">
                  <c:v>Atorvastatin</c:v>
                </c:pt>
                <c:pt idx="3">
                  <c:v>Ciprofloxacin</c:v>
                </c:pt>
                <c:pt idx="4">
                  <c:v>Diclofenac</c:v>
                </c:pt>
                <c:pt idx="5">
                  <c:v>Enalapril</c:v>
                </c:pt>
                <c:pt idx="6">
                  <c:v>Metformin</c:v>
                </c:pt>
                <c:pt idx="7">
                  <c:v>Omeprazole</c:v>
                </c:pt>
                <c:pt idx="8">
                  <c:v>Warfarin</c:v>
                </c:pt>
              </c:strCache>
            </c:strRef>
          </c:cat>
          <c:val>
            <c:numRef>
              <c:f>'Reaction matrix'!$M$5:$M$14</c:f>
              <c:numCache>
                <c:formatCode>General</c:formatCode>
                <c:ptCount val="9"/>
                <c:pt idx="3">
                  <c:v>1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AE99-491D-B51E-CE845BF7B08F}"/>
            </c:ext>
          </c:extLst>
        </c:ser>
        <c:ser>
          <c:idx val="12"/>
          <c:order val="12"/>
          <c:tx>
            <c:strRef>
              <c:f>'Reaction matrix'!$N$3:$N$4</c:f>
              <c:strCache>
                <c:ptCount val="1"/>
                <c:pt idx="0">
                  <c:v>Skin Rash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'Reaction matrix'!$A$5:$A$14</c:f>
              <c:strCache>
                <c:ptCount val="9"/>
                <c:pt idx="0">
                  <c:v>Amlodipine</c:v>
                </c:pt>
                <c:pt idx="1">
                  <c:v>Amoxicillin</c:v>
                </c:pt>
                <c:pt idx="2">
                  <c:v>Atorvastatin</c:v>
                </c:pt>
                <c:pt idx="3">
                  <c:v>Ciprofloxacin</c:v>
                </c:pt>
                <c:pt idx="4">
                  <c:v>Diclofenac</c:v>
                </c:pt>
                <c:pt idx="5">
                  <c:v>Enalapril</c:v>
                </c:pt>
                <c:pt idx="6">
                  <c:v>Metformin</c:v>
                </c:pt>
                <c:pt idx="7">
                  <c:v>Omeprazole</c:v>
                </c:pt>
                <c:pt idx="8">
                  <c:v>Warfarin</c:v>
                </c:pt>
              </c:strCache>
            </c:strRef>
          </c:cat>
          <c:val>
            <c:numRef>
              <c:f>'Reaction matrix'!$N$5:$N$14</c:f>
              <c:numCache>
                <c:formatCode>General</c:formatCode>
                <c:ptCount val="9"/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AE99-491D-B51E-CE845BF7B08F}"/>
            </c:ext>
          </c:extLst>
        </c:ser>
        <c:ser>
          <c:idx val="13"/>
          <c:order val="13"/>
          <c:tx>
            <c:strRef>
              <c:f>'Reaction matrix'!$O$3:$O$4</c:f>
              <c:strCache>
                <c:ptCount val="1"/>
                <c:pt idx="0">
                  <c:v>Tendon Pain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'Reaction matrix'!$A$5:$A$14</c:f>
              <c:strCache>
                <c:ptCount val="9"/>
                <c:pt idx="0">
                  <c:v>Amlodipine</c:v>
                </c:pt>
                <c:pt idx="1">
                  <c:v>Amoxicillin</c:v>
                </c:pt>
                <c:pt idx="2">
                  <c:v>Atorvastatin</c:v>
                </c:pt>
                <c:pt idx="3">
                  <c:v>Ciprofloxacin</c:v>
                </c:pt>
                <c:pt idx="4">
                  <c:v>Diclofenac</c:v>
                </c:pt>
                <c:pt idx="5">
                  <c:v>Enalapril</c:v>
                </c:pt>
                <c:pt idx="6">
                  <c:v>Metformin</c:v>
                </c:pt>
                <c:pt idx="7">
                  <c:v>Omeprazole</c:v>
                </c:pt>
                <c:pt idx="8">
                  <c:v>Warfarin</c:v>
                </c:pt>
              </c:strCache>
            </c:strRef>
          </c:cat>
          <c:val>
            <c:numRef>
              <c:f>'Reaction matrix'!$O$5:$O$14</c:f>
              <c:numCache>
                <c:formatCode>General</c:formatCode>
                <c:ptCount val="9"/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AE99-491D-B51E-CE845BF7B0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67439631"/>
        <c:axId val="1060170575"/>
      </c:barChart>
      <c:catAx>
        <c:axId val="10674396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0170575"/>
        <c:crosses val="autoZero"/>
        <c:auto val="1"/>
        <c:lblAlgn val="ctr"/>
        <c:lblOffset val="100"/>
        <c:noMultiLvlLbl val="0"/>
      </c:catAx>
      <c:valAx>
        <c:axId val="1060170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74396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Severity</a:t>
            </a:r>
            <a:r>
              <a:rPr lang="en-IN" baseline="0"/>
              <a:t> of ADRs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'Risk factors '!$G$1</c:f>
              <c:strCache>
                <c:ptCount val="1"/>
                <c:pt idx="0">
                  <c:v>Cases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'Risk factors '!$F$2:$F$4</c:f>
              <c:strCache>
                <c:ptCount val="3"/>
                <c:pt idx="0">
                  <c:v>Mild</c:v>
                </c:pt>
                <c:pt idx="1">
                  <c:v>Moderate</c:v>
                </c:pt>
                <c:pt idx="2">
                  <c:v>Severe</c:v>
                </c:pt>
              </c:strCache>
            </c:strRef>
          </c:cat>
          <c:val>
            <c:numRef>
              <c:f>'Risk factors '!$G$2:$G$4</c:f>
              <c:numCache>
                <c:formatCode>General</c:formatCode>
                <c:ptCount val="3"/>
                <c:pt idx="0">
                  <c:v>17</c:v>
                </c:pt>
                <c:pt idx="1">
                  <c:v>7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7A-4FA2-A02B-8C992A1475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36250415"/>
        <c:axId val="1060242575"/>
      </c:barChart>
      <c:catAx>
        <c:axId val="13362504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0242575"/>
        <c:crosses val="autoZero"/>
        <c:auto val="1"/>
        <c:lblAlgn val="ctr"/>
        <c:lblOffset val="100"/>
        <c:noMultiLvlLbl val="0"/>
      </c:catAx>
      <c:valAx>
        <c:axId val="1060242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62504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ADR rate by 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'Risk factors '!$D$1</c:f>
              <c:strCache>
                <c:ptCount val="1"/>
                <c:pt idx="0">
                  <c:v>ADR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'Risk factors '!$A$2:$A$5</c:f>
              <c:strCache>
                <c:ptCount val="4"/>
                <c:pt idx="0">
                  <c:v>Under 18</c:v>
                </c:pt>
                <c:pt idx="1">
                  <c:v>18 to 39</c:v>
                </c:pt>
                <c:pt idx="2">
                  <c:v>40 to 59</c:v>
                </c:pt>
                <c:pt idx="3">
                  <c:v>60 and above</c:v>
                </c:pt>
              </c:strCache>
            </c:strRef>
          </c:cat>
          <c:val>
            <c:numRef>
              <c:f>'Risk factors '!$D$2:$D$5</c:f>
              <c:numCache>
                <c:formatCode>General</c:formatCode>
                <c:ptCount val="4"/>
                <c:pt idx="0">
                  <c:v>1</c:v>
                </c:pt>
                <c:pt idx="1">
                  <c:v>0.33333333333333331</c:v>
                </c:pt>
                <c:pt idx="2">
                  <c:v>0.20833333333333334</c:v>
                </c:pt>
                <c:pt idx="3">
                  <c:v>0.34782608695652173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FD-4A8B-9BFA-86C4C18AFD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06637727"/>
        <c:axId val="1060176815"/>
      </c:barChart>
      <c:catAx>
        <c:axId val="12066377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0176815"/>
        <c:crosses val="autoZero"/>
        <c:auto val="1"/>
        <c:lblAlgn val="ctr"/>
        <c:lblOffset val="100"/>
        <c:noMultiLvlLbl val="0"/>
      </c:catAx>
      <c:valAx>
        <c:axId val="1060176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66377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ADR rate by drug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'Drug analysis'!$E$6</c:f>
              <c:strCache>
                <c:ptCount val="1"/>
                <c:pt idx="0">
                  <c:v>ADR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'Drug analysis'!$A$7:$A$16</c:f>
              <c:strCache>
                <c:ptCount val="10"/>
                <c:pt idx="0">
                  <c:v>Diclofenac</c:v>
                </c:pt>
                <c:pt idx="1">
                  <c:v>Amoxicillin</c:v>
                </c:pt>
                <c:pt idx="2">
                  <c:v>Atorvastatin</c:v>
                </c:pt>
                <c:pt idx="3">
                  <c:v>Metformin</c:v>
                </c:pt>
                <c:pt idx="4">
                  <c:v>Enalapril</c:v>
                </c:pt>
                <c:pt idx="5">
                  <c:v>Amlodipine</c:v>
                </c:pt>
                <c:pt idx="6">
                  <c:v>Warfarin</c:v>
                </c:pt>
                <c:pt idx="7">
                  <c:v>Paracetamol</c:v>
                </c:pt>
                <c:pt idx="8">
                  <c:v>Ciprofloxacin</c:v>
                </c:pt>
                <c:pt idx="9">
                  <c:v>Omeprazole</c:v>
                </c:pt>
              </c:strCache>
            </c:strRef>
          </c:cat>
          <c:val>
            <c:numRef>
              <c:f>'Drug analysis'!$E$7:$E$16</c:f>
              <c:numCache>
                <c:formatCode>General</c:formatCode>
                <c:ptCount val="10"/>
                <c:pt idx="0">
                  <c:v>0.5</c:v>
                </c:pt>
                <c:pt idx="1">
                  <c:v>0.25</c:v>
                </c:pt>
                <c:pt idx="2">
                  <c:v>0.5</c:v>
                </c:pt>
                <c:pt idx="3">
                  <c:v>0.25</c:v>
                </c:pt>
                <c:pt idx="4">
                  <c:v>0.625</c:v>
                </c:pt>
                <c:pt idx="5">
                  <c:v>0.25</c:v>
                </c:pt>
                <c:pt idx="6">
                  <c:v>0.5</c:v>
                </c:pt>
                <c:pt idx="7">
                  <c:v>0</c:v>
                </c:pt>
                <c:pt idx="8">
                  <c:v>0.25</c:v>
                </c:pt>
                <c:pt idx="9">
                  <c:v>0.125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3F-4199-886C-8DFC48A6A7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32283919"/>
        <c:axId val="1060231535"/>
      </c:barChart>
      <c:catAx>
        <c:axId val="133228391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0231535"/>
        <c:crosses val="autoZero"/>
        <c:auto val="1"/>
        <c:lblAlgn val="ctr"/>
        <c:lblOffset val="100"/>
        <c:noMultiLvlLbl val="0"/>
      </c:catAx>
      <c:valAx>
        <c:axId val="1060231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22839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304800</xdr:colOff>
      <xdr:row>14</xdr:row>
      <xdr:rowOff>85725</xdr:rowOff>
    </xdr:from>
    <xdr:to>
      <xdr:col>12</xdr:col>
      <xdr:colOff>104775</xdr:colOff>
      <xdr:row>32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290887B-F732-9A3B-D09B-C3088359B6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466724</xdr:colOff>
      <xdr:row>0</xdr:row>
      <xdr:rowOff>80962</xdr:rowOff>
    </xdr:from>
    <xdr:to>
      <xdr:col>13</xdr:col>
      <xdr:colOff>600075</xdr:colOff>
      <xdr:row>12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81E7F6B-D43B-E5A9-1683-E577D335BB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0</xdr:colOff>
      <xdr:row>0</xdr:row>
      <xdr:rowOff>38100</xdr:rowOff>
    </xdr:from>
    <xdr:to>
      <xdr:col>19</xdr:col>
      <xdr:colOff>133349</xdr:colOff>
      <xdr:row>12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AA8A574-6F82-D3D5-5C0A-483C887987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723900</xdr:colOff>
      <xdr:row>18</xdr:row>
      <xdr:rowOff>138112</xdr:rowOff>
    </xdr:from>
    <xdr:to>
      <xdr:col>8</xdr:col>
      <xdr:colOff>66675</xdr:colOff>
      <xdr:row>33</xdr:row>
      <xdr:rowOff>23812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745761E-9A0C-DFEC-91CE-0F712D5414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cer" refreshedDate="46309.563780555553" createdVersion="8" refreshedVersion="8" minRefreshableVersion="3" recordCount="80" xr:uid="{D94C9FCB-5E14-4E85-A7D8-D65469870E01}">
  <cacheSource type="worksheet">
    <worksheetSource ref="A1:V81" sheet="Patient_Data"/>
  </cacheSource>
  <cacheFields count="22">
    <cacheField name="Patient_ID" numFmtId="0">
      <sharedItems/>
    </cacheField>
    <cacheField name="Age" numFmtId="0">
      <sharedItems containsSemiMixedTypes="0" containsString="0" containsNumber="1" containsInteger="1" minValue="15" maxValue="80"/>
    </cacheField>
    <cacheField name="Gender" numFmtId="0">
      <sharedItems/>
    </cacheField>
    <cacheField name="Drug" numFmtId="0">
      <sharedItems count="10">
        <s v="Omeprazole"/>
        <s v="Metformin"/>
        <s v="Amlodipine"/>
        <s v="Enalapril"/>
        <s v="Atorvastatin"/>
        <s v="Paracetamol"/>
        <s v="Diclofenac"/>
        <s v="Ciprofloxacin"/>
        <s v="Amoxicillin"/>
        <s v="Warfarin"/>
      </sharedItems>
    </cacheField>
    <cacheField name="Drug_Class" numFmtId="0">
      <sharedItems/>
    </cacheField>
    <cacheField name="Daily_Dose_mg" numFmtId="0">
      <sharedItems containsSemiMixedTypes="0" containsString="0" containsNumber="1" containsInteger="1" minValue="5" maxValue="1000"/>
    </cacheField>
    <cacheField name="Start_Date" numFmtId="164">
      <sharedItems containsSemiMixedTypes="0" containsNonDate="0" containsDate="1" containsString="0" minDate="2025-01-01T00:00:00" maxDate="2025-09-24T00:00:00"/>
    </cacheField>
    <cacheField name="Reaction" numFmtId="0">
      <sharedItems count="15">
        <s v="None"/>
        <s v="Dry Cough"/>
        <s v="GI Bleeding"/>
        <s v="Tendon Pain"/>
        <s v="Nausea"/>
        <s v="Diarrhea"/>
        <s v="Lactic Acidosis"/>
        <s v="Bruising"/>
        <s v="Gastritis"/>
        <s v="Ankle Edema"/>
        <s v="Elevated Liver Enzymes"/>
        <s v="Myalgia"/>
        <s v="Hyperkalemia"/>
        <s v="Skin Rash"/>
        <s v="Headache"/>
      </sharedItems>
    </cacheField>
    <cacheField name="Onset_Date" numFmtId="164">
      <sharedItems containsNonDate="0" containsDate="1" containsString="0" containsBlank="1" minDate="2025-02-20T00:00:00" maxDate="2025-09-30T00:00:00"/>
    </cacheField>
    <cacheField name="Severity" numFmtId="0">
      <sharedItems/>
    </cacheField>
    <cacheField name="Dechallenge" numFmtId="0">
      <sharedItems/>
    </cacheField>
    <cacheField name="Concomitant_Drug" numFmtId="0">
      <sharedItems/>
    </cacheField>
    <cacheField name="Outcome" numFmtId="0">
      <sharedItems/>
    </cacheField>
    <cacheField name="Days to onset" numFmtId="0">
      <sharedItems containsMixedTypes="1" containsNumber="1" containsInteger="1" minValue="2" maxValue="84"/>
    </cacheField>
    <cacheField name="Age group" numFmtId="0">
      <sharedItems/>
    </cacheField>
    <cacheField name="ADR flag" numFmtId="0">
      <sharedItems containsSemiMixedTypes="0" containsString="0" containsNumber="1" containsInteger="1" minValue="0" maxValue="1" count="2">
        <n v="0"/>
        <n v="1"/>
      </sharedItems>
    </cacheField>
    <cacheField name="Known pts" numFmtId="0">
      <sharedItems containsSemiMixedTypes="0" containsString="0" containsNumber="1" containsInteger="1" minValue="0" maxValue="1"/>
    </cacheField>
    <cacheField name="Temporal pts" numFmtId="0">
      <sharedItems containsSemiMixedTypes="0" containsString="0" containsNumber="1" containsInteger="1" minValue="0" maxValue="2"/>
    </cacheField>
    <cacheField name="Dechallenge pts" numFmtId="0">
      <sharedItems containsSemiMixedTypes="0" containsString="0" containsNumber="1" containsInteger="1" minValue="-1" maxValue="1"/>
    </cacheField>
    <cacheField name="Altcause pts" numFmtId="0">
      <sharedItems containsSemiMixedTypes="0" containsString="0" containsNumber="1" containsInteger="1" minValue="-1" maxValue="0"/>
    </cacheField>
    <cacheField name="Causality score" numFmtId="0">
      <sharedItems containsMixedTypes="1" containsNumber="1" containsInteger="1" minValue="1" maxValue="4"/>
    </cacheField>
    <cacheField name="Causality category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0">
  <r>
    <s v="P001"/>
    <n v="34"/>
    <s v="Male"/>
    <x v="0"/>
    <s v="Proton Pump Inhibitor"/>
    <n v="20"/>
    <d v="2025-08-01T00:00:00"/>
    <x v="0"/>
    <m/>
    <s v="None"/>
    <s v="NA"/>
    <s v="None"/>
    <s v="No reaction"/>
    <s v=""/>
    <s v="18 to 39"/>
    <x v="0"/>
    <n v="0"/>
    <n v="0"/>
    <n v="0"/>
    <n v="0"/>
    <s v=""/>
    <s v=""/>
  </r>
  <r>
    <s v="P002"/>
    <n v="22"/>
    <s v="Male"/>
    <x v="1"/>
    <s v="Antidiabetic"/>
    <n v="1000"/>
    <d v="2025-01-17T00:00:00"/>
    <x v="0"/>
    <m/>
    <s v="None"/>
    <s v="NA"/>
    <s v="None"/>
    <s v="No reaction"/>
    <s v=""/>
    <s v="18 to 39"/>
    <x v="0"/>
    <n v="0"/>
    <n v="0"/>
    <n v="0"/>
    <n v="0"/>
    <s v=""/>
    <s v=""/>
  </r>
  <r>
    <s v="P003"/>
    <n v="74"/>
    <s v="Female"/>
    <x v="0"/>
    <s v="Proton Pump Inhibitor"/>
    <n v="20"/>
    <d v="2025-04-16T00:00:00"/>
    <x v="0"/>
    <m/>
    <s v="None"/>
    <s v="NA"/>
    <s v="None"/>
    <s v="No reaction"/>
    <s v=""/>
    <s v="60 and above"/>
    <x v="0"/>
    <n v="0"/>
    <n v="0"/>
    <n v="0"/>
    <n v="0"/>
    <s v=""/>
    <s v=""/>
  </r>
  <r>
    <s v="P004"/>
    <n v="53"/>
    <s v="Male"/>
    <x v="2"/>
    <s v="Calcium Channel Blocker"/>
    <n v="5"/>
    <d v="2025-06-03T00:00:00"/>
    <x v="0"/>
    <m/>
    <s v="None"/>
    <s v="NA"/>
    <s v="Clarithromycin"/>
    <s v="No reaction"/>
    <s v=""/>
    <s v="40 to 59"/>
    <x v="0"/>
    <n v="0"/>
    <n v="0"/>
    <n v="0"/>
    <n v="0"/>
    <s v=""/>
    <s v=""/>
  </r>
  <r>
    <s v="P005"/>
    <n v="24"/>
    <s v="Male"/>
    <x v="3"/>
    <s v="ACE Inhibitor"/>
    <n v="10"/>
    <d v="2025-02-21T00:00:00"/>
    <x v="1"/>
    <d v="2025-03-16T00:00:00"/>
    <s v="Mild"/>
    <s v="Yes"/>
    <s v="Ibuprofen"/>
    <s v="Recovered"/>
    <n v="23"/>
    <s v="18 to 39"/>
    <x v="1"/>
    <n v="1"/>
    <n v="2"/>
    <n v="1"/>
    <n v="-1"/>
    <n v="3"/>
    <s v="Probable"/>
  </r>
  <r>
    <s v="P006"/>
    <n v="79"/>
    <s v="Male"/>
    <x v="4"/>
    <s v="Statin"/>
    <n v="20"/>
    <d v="2025-02-24T00:00:00"/>
    <x v="0"/>
    <m/>
    <s v="None"/>
    <s v="NA"/>
    <s v="Clarithromycin"/>
    <s v="No reaction"/>
    <s v=""/>
    <s v="60 and above"/>
    <x v="0"/>
    <n v="0"/>
    <n v="0"/>
    <n v="0"/>
    <n v="0"/>
    <s v=""/>
    <s v=""/>
  </r>
  <r>
    <s v="P007"/>
    <n v="57"/>
    <s v="Female"/>
    <x v="5"/>
    <s v="Analgesic"/>
    <n v="650"/>
    <d v="2025-06-03T00:00:00"/>
    <x v="0"/>
    <m/>
    <s v="None"/>
    <s v="NA"/>
    <s v="None"/>
    <s v="No reaction"/>
    <s v=""/>
    <s v="40 to 59"/>
    <x v="0"/>
    <n v="0"/>
    <n v="0"/>
    <n v="0"/>
    <n v="0"/>
    <s v=""/>
    <s v=""/>
  </r>
  <r>
    <s v="P008"/>
    <n v="29"/>
    <s v="Male"/>
    <x v="6"/>
    <s v="NSAID"/>
    <n v="100"/>
    <d v="2025-05-06T00:00:00"/>
    <x v="2"/>
    <d v="2025-05-30T00:00:00"/>
    <s v="Severe"/>
    <s v="No"/>
    <s v="None"/>
    <s v="Hospitalized"/>
    <n v="24"/>
    <s v="18 to 39"/>
    <x v="1"/>
    <n v="1"/>
    <n v="2"/>
    <n v="-1"/>
    <n v="0"/>
    <n v="2"/>
    <s v="Possible"/>
  </r>
  <r>
    <s v="P009"/>
    <n v="41"/>
    <s v="Male"/>
    <x v="2"/>
    <s v="Calcium Channel Blocker"/>
    <n v="5"/>
    <d v="2025-07-01T00:00:00"/>
    <x v="0"/>
    <m/>
    <s v="None"/>
    <s v="NA"/>
    <s v="None"/>
    <s v="No reaction"/>
    <s v=""/>
    <s v="40 to 59"/>
    <x v="0"/>
    <n v="0"/>
    <n v="0"/>
    <n v="0"/>
    <n v="0"/>
    <s v=""/>
    <s v=""/>
  </r>
  <r>
    <s v="P010"/>
    <n v="57"/>
    <s v="Male"/>
    <x v="5"/>
    <s v="Analgesic"/>
    <n v="650"/>
    <d v="2025-06-08T00:00:00"/>
    <x v="0"/>
    <m/>
    <s v="None"/>
    <s v="NA"/>
    <s v="None"/>
    <s v="No reaction"/>
    <s v=""/>
    <s v="40 to 59"/>
    <x v="0"/>
    <n v="0"/>
    <n v="0"/>
    <n v="0"/>
    <n v="0"/>
    <s v=""/>
    <s v=""/>
  </r>
  <r>
    <s v="P011"/>
    <n v="67"/>
    <s v="Female"/>
    <x v="5"/>
    <s v="Analgesic"/>
    <n v="650"/>
    <d v="2025-06-01T00:00:00"/>
    <x v="0"/>
    <m/>
    <s v="None"/>
    <s v="NA"/>
    <s v="Aspirin"/>
    <s v="No reaction"/>
    <s v=""/>
    <s v="60 and above"/>
    <x v="0"/>
    <n v="0"/>
    <n v="0"/>
    <n v="0"/>
    <n v="0"/>
    <s v=""/>
    <s v=""/>
  </r>
  <r>
    <s v="P012"/>
    <n v="63"/>
    <s v="Male"/>
    <x v="6"/>
    <s v="NSAID"/>
    <n v="100"/>
    <d v="2025-05-31T00:00:00"/>
    <x v="0"/>
    <m/>
    <s v="None"/>
    <s v="NA"/>
    <s v="Clarithromycin"/>
    <s v="No reaction"/>
    <s v=""/>
    <s v="60 and above"/>
    <x v="0"/>
    <n v="0"/>
    <n v="0"/>
    <n v="0"/>
    <n v="0"/>
    <s v=""/>
    <s v=""/>
  </r>
  <r>
    <s v="P013"/>
    <n v="72"/>
    <s v="Male"/>
    <x v="7"/>
    <s v="Fluoroquinolone"/>
    <n v="500"/>
    <d v="2025-08-19T00:00:00"/>
    <x v="3"/>
    <d v="2025-08-31T00:00:00"/>
    <s v="Mild"/>
    <s v="No"/>
    <s v="Ibuprofen"/>
    <s v="Recovered"/>
    <n v="12"/>
    <s v="60 and above"/>
    <x v="1"/>
    <n v="1"/>
    <n v="2"/>
    <n v="-1"/>
    <n v="-1"/>
    <n v="1"/>
    <s v="Possible"/>
  </r>
  <r>
    <s v="P014"/>
    <n v="24"/>
    <s v="Male"/>
    <x v="1"/>
    <s v="Antidiabetic"/>
    <n v="1000"/>
    <d v="2025-09-06T00:00:00"/>
    <x v="4"/>
    <d v="2025-09-26T00:00:00"/>
    <s v="Mild"/>
    <s v="Yes"/>
    <s v="None"/>
    <s v="Recovered"/>
    <n v="20"/>
    <s v="18 to 39"/>
    <x v="1"/>
    <n v="1"/>
    <n v="2"/>
    <n v="1"/>
    <n v="0"/>
    <n v="4"/>
    <s v="Probable"/>
  </r>
  <r>
    <s v="P015"/>
    <n v="20"/>
    <s v="Female"/>
    <x v="2"/>
    <s v="Calcium Channel Blocker"/>
    <n v="5"/>
    <d v="2025-01-21T00:00:00"/>
    <x v="0"/>
    <m/>
    <s v="None"/>
    <s v="NA"/>
    <s v="None"/>
    <s v="No reaction"/>
    <s v=""/>
    <s v="18 to 39"/>
    <x v="0"/>
    <n v="0"/>
    <n v="0"/>
    <n v="0"/>
    <n v="0"/>
    <s v=""/>
    <s v=""/>
  </r>
  <r>
    <s v="P016"/>
    <n v="65"/>
    <s v="Female"/>
    <x v="8"/>
    <s v="Antibiotic"/>
    <n v="500"/>
    <d v="2025-05-16T00:00:00"/>
    <x v="5"/>
    <d v="2025-05-21T00:00:00"/>
    <s v="Mild"/>
    <s v="Yes"/>
    <s v="None"/>
    <s v="Recovering"/>
    <n v="5"/>
    <s v="60 and above"/>
    <x v="1"/>
    <n v="1"/>
    <n v="2"/>
    <n v="1"/>
    <n v="0"/>
    <n v="4"/>
    <s v="Probable"/>
  </r>
  <r>
    <s v="P017"/>
    <n v="46"/>
    <s v="Male"/>
    <x v="7"/>
    <s v="Fluoroquinolone"/>
    <n v="500"/>
    <d v="2025-03-10T00:00:00"/>
    <x v="0"/>
    <m/>
    <s v="None"/>
    <s v="NA"/>
    <s v="Ibuprofen"/>
    <s v="No reaction"/>
    <s v=""/>
    <s v="40 to 59"/>
    <x v="0"/>
    <n v="0"/>
    <n v="0"/>
    <n v="0"/>
    <n v="0"/>
    <s v=""/>
    <s v=""/>
  </r>
  <r>
    <s v="P018"/>
    <n v="24"/>
    <s v="Female"/>
    <x v="1"/>
    <s v="Antidiabetic"/>
    <n v="1000"/>
    <d v="2025-02-20T00:00:00"/>
    <x v="6"/>
    <d v="2025-02-22T00:00:00"/>
    <s v="Severe"/>
    <s v="NA"/>
    <s v="Clarithromycin"/>
    <s v="Recovering"/>
    <n v="2"/>
    <s v="18 to 39"/>
    <x v="1"/>
    <n v="1"/>
    <n v="2"/>
    <n v="0"/>
    <n v="-1"/>
    <n v="2"/>
    <s v="Possible"/>
  </r>
  <r>
    <s v="P019"/>
    <n v="80"/>
    <s v="Male"/>
    <x v="9"/>
    <s v="Anticoagulant"/>
    <n v="5"/>
    <d v="2025-04-08T00:00:00"/>
    <x v="7"/>
    <d v="2025-04-13T00:00:00"/>
    <s v="Mild"/>
    <s v="No"/>
    <s v="Aspirin"/>
    <s v="Recovering"/>
    <n v="5"/>
    <s v="60 and above"/>
    <x v="1"/>
    <n v="1"/>
    <n v="2"/>
    <n v="-1"/>
    <n v="-1"/>
    <n v="1"/>
    <s v="Possible"/>
  </r>
  <r>
    <s v="P020"/>
    <n v="15"/>
    <s v="Male"/>
    <x v="6"/>
    <s v="NSAID"/>
    <n v="100"/>
    <d v="2025-06-24T00:00:00"/>
    <x v="8"/>
    <d v="2025-07-21T00:00:00"/>
    <s v="Mild"/>
    <s v="Yes"/>
    <s v="Aspirin"/>
    <s v="Recovered"/>
    <n v="27"/>
    <s v="Under 18"/>
    <x v="1"/>
    <n v="1"/>
    <n v="2"/>
    <n v="1"/>
    <n v="-1"/>
    <n v="3"/>
    <s v="Probable"/>
  </r>
  <r>
    <s v="P021"/>
    <n v="15"/>
    <s v="Female"/>
    <x v="2"/>
    <s v="Calcium Channel Blocker"/>
    <n v="5"/>
    <d v="2025-05-15T00:00:00"/>
    <x v="9"/>
    <d v="2025-06-18T00:00:00"/>
    <s v="Mild"/>
    <s v="Yes"/>
    <s v="None"/>
    <s v="Not Recovered"/>
    <n v="34"/>
    <s v="Under 18"/>
    <x v="1"/>
    <n v="1"/>
    <n v="2"/>
    <n v="1"/>
    <n v="0"/>
    <n v="4"/>
    <s v="Probable"/>
  </r>
  <r>
    <s v="P022"/>
    <n v="25"/>
    <s v="Male"/>
    <x v="4"/>
    <s v="Statin"/>
    <n v="20"/>
    <d v="2025-02-05T00:00:00"/>
    <x v="0"/>
    <m/>
    <s v="None"/>
    <s v="NA"/>
    <s v="Ibuprofen"/>
    <s v="No reaction"/>
    <s v=""/>
    <s v="18 to 39"/>
    <x v="0"/>
    <n v="0"/>
    <n v="0"/>
    <n v="0"/>
    <n v="0"/>
    <s v=""/>
    <s v=""/>
  </r>
  <r>
    <s v="P023"/>
    <n v="67"/>
    <s v="Male"/>
    <x v="1"/>
    <s v="Antidiabetic"/>
    <n v="1000"/>
    <d v="2025-02-19T00:00:00"/>
    <x v="0"/>
    <m/>
    <s v="None"/>
    <s v="NA"/>
    <s v="None"/>
    <s v="No reaction"/>
    <s v=""/>
    <s v="60 and above"/>
    <x v="0"/>
    <n v="0"/>
    <n v="0"/>
    <n v="0"/>
    <n v="0"/>
    <s v=""/>
    <s v=""/>
  </r>
  <r>
    <s v="P024"/>
    <n v="34"/>
    <s v="Male"/>
    <x v="2"/>
    <s v="Calcium Channel Blocker"/>
    <n v="5"/>
    <d v="2025-03-17T00:00:00"/>
    <x v="0"/>
    <m/>
    <s v="None"/>
    <s v="NA"/>
    <s v="None"/>
    <s v="No reaction"/>
    <s v=""/>
    <s v="18 to 39"/>
    <x v="0"/>
    <n v="0"/>
    <n v="0"/>
    <n v="0"/>
    <n v="0"/>
    <s v=""/>
    <s v=""/>
  </r>
  <r>
    <s v="P025"/>
    <n v="40"/>
    <s v="Female"/>
    <x v="9"/>
    <s v="Anticoagulant"/>
    <n v="5"/>
    <d v="2025-02-05T00:00:00"/>
    <x v="0"/>
    <m/>
    <s v="None"/>
    <s v="NA"/>
    <s v="Aspirin"/>
    <s v="No reaction"/>
    <s v=""/>
    <s v="40 to 59"/>
    <x v="0"/>
    <n v="0"/>
    <n v="0"/>
    <n v="0"/>
    <n v="0"/>
    <s v=""/>
    <s v=""/>
  </r>
  <r>
    <s v="P026"/>
    <n v="18"/>
    <s v="Female"/>
    <x v="0"/>
    <s v="Proton Pump Inhibitor"/>
    <n v="20"/>
    <d v="2025-07-27T00:00:00"/>
    <x v="0"/>
    <m/>
    <s v="None"/>
    <s v="NA"/>
    <s v="None"/>
    <s v="No reaction"/>
    <s v=""/>
    <s v="18 to 39"/>
    <x v="0"/>
    <n v="0"/>
    <n v="0"/>
    <n v="0"/>
    <n v="0"/>
    <s v=""/>
    <s v=""/>
  </r>
  <r>
    <s v="P027"/>
    <n v="42"/>
    <s v="Female"/>
    <x v="5"/>
    <s v="Analgesic"/>
    <n v="650"/>
    <d v="2025-02-13T00:00:00"/>
    <x v="0"/>
    <m/>
    <s v="None"/>
    <s v="NA"/>
    <s v="None"/>
    <s v="No reaction"/>
    <s v=""/>
    <s v="40 to 59"/>
    <x v="0"/>
    <n v="0"/>
    <n v="0"/>
    <n v="0"/>
    <n v="0"/>
    <s v=""/>
    <s v=""/>
  </r>
  <r>
    <s v="P028"/>
    <n v="21"/>
    <s v="Male"/>
    <x v="1"/>
    <s v="Antidiabetic"/>
    <n v="1000"/>
    <d v="2025-07-26T00:00:00"/>
    <x v="0"/>
    <m/>
    <s v="None"/>
    <s v="NA"/>
    <s v="None"/>
    <s v="No reaction"/>
    <s v=""/>
    <s v="18 to 39"/>
    <x v="0"/>
    <n v="0"/>
    <n v="0"/>
    <n v="0"/>
    <n v="0"/>
    <s v=""/>
    <s v=""/>
  </r>
  <r>
    <s v="P029"/>
    <n v="73"/>
    <s v="Female"/>
    <x v="9"/>
    <s v="Anticoagulant"/>
    <n v="5"/>
    <d v="2025-04-27T00:00:00"/>
    <x v="7"/>
    <d v="2025-05-27T00:00:00"/>
    <s v="Mild"/>
    <s v="NA"/>
    <s v="Aspirin"/>
    <s v="Not Recovered"/>
    <n v="30"/>
    <s v="60 and above"/>
    <x v="1"/>
    <n v="1"/>
    <n v="2"/>
    <n v="0"/>
    <n v="-1"/>
    <n v="2"/>
    <s v="Possible"/>
  </r>
  <r>
    <s v="P030"/>
    <n v="31"/>
    <s v="Male"/>
    <x v="4"/>
    <s v="Statin"/>
    <n v="20"/>
    <d v="2025-03-26T00:00:00"/>
    <x v="10"/>
    <d v="2025-06-02T00:00:00"/>
    <s v="Moderate"/>
    <s v="NA"/>
    <s v="Ibuprofen"/>
    <s v="Recovering"/>
    <n v="68"/>
    <s v="18 to 39"/>
    <x v="1"/>
    <n v="1"/>
    <n v="2"/>
    <n v="0"/>
    <n v="-1"/>
    <n v="2"/>
    <s v="Possible"/>
  </r>
  <r>
    <s v="P031"/>
    <n v="53"/>
    <s v="Male"/>
    <x v="4"/>
    <s v="Statin"/>
    <n v="20"/>
    <d v="2025-07-11T00:00:00"/>
    <x v="0"/>
    <m/>
    <s v="None"/>
    <s v="NA"/>
    <s v="None"/>
    <s v="No reaction"/>
    <s v=""/>
    <s v="40 to 59"/>
    <x v="0"/>
    <n v="0"/>
    <n v="0"/>
    <n v="0"/>
    <n v="0"/>
    <s v=""/>
    <s v=""/>
  </r>
  <r>
    <s v="P032"/>
    <n v="22"/>
    <s v="Male"/>
    <x v="3"/>
    <s v="ACE Inhibitor"/>
    <n v="10"/>
    <d v="2025-09-15T00:00:00"/>
    <x v="0"/>
    <m/>
    <s v="None"/>
    <s v="NA"/>
    <s v="Ibuprofen"/>
    <s v="No reaction"/>
    <s v=""/>
    <s v="18 to 39"/>
    <x v="0"/>
    <n v="0"/>
    <n v="0"/>
    <n v="0"/>
    <n v="0"/>
    <s v=""/>
    <s v=""/>
  </r>
  <r>
    <s v="P033"/>
    <n v="57"/>
    <s v="Female"/>
    <x v="9"/>
    <s v="Anticoagulant"/>
    <n v="5"/>
    <d v="2025-05-17T00:00:00"/>
    <x v="7"/>
    <d v="2025-06-15T00:00:00"/>
    <s v="Moderate"/>
    <s v="NA"/>
    <s v="None"/>
    <s v="Recovered"/>
    <n v="29"/>
    <s v="40 to 59"/>
    <x v="1"/>
    <n v="1"/>
    <n v="2"/>
    <n v="0"/>
    <n v="0"/>
    <n v="3"/>
    <s v="Probable"/>
  </r>
  <r>
    <s v="P034"/>
    <n v="40"/>
    <s v="Male"/>
    <x v="5"/>
    <s v="Analgesic"/>
    <n v="650"/>
    <d v="2025-01-24T00:00:00"/>
    <x v="0"/>
    <m/>
    <s v="None"/>
    <s v="NA"/>
    <s v="None"/>
    <s v="No reaction"/>
    <s v=""/>
    <s v="40 to 59"/>
    <x v="0"/>
    <n v="0"/>
    <n v="0"/>
    <n v="0"/>
    <n v="0"/>
    <s v=""/>
    <s v=""/>
  </r>
  <r>
    <s v="P035"/>
    <n v="15"/>
    <s v="Female"/>
    <x v="4"/>
    <s v="Statin"/>
    <n v="20"/>
    <d v="2025-01-10T00:00:00"/>
    <x v="11"/>
    <d v="2025-03-04T00:00:00"/>
    <s v="Mild"/>
    <s v="Yes"/>
    <s v="Ibuprofen"/>
    <s v="Recovered"/>
    <n v="53"/>
    <s v="Under 18"/>
    <x v="1"/>
    <n v="1"/>
    <n v="2"/>
    <n v="1"/>
    <n v="-1"/>
    <n v="3"/>
    <s v="Probable"/>
  </r>
  <r>
    <s v="P036"/>
    <n v="55"/>
    <s v="Female"/>
    <x v="3"/>
    <s v="ACE Inhibitor"/>
    <n v="10"/>
    <d v="2025-06-10T00:00:00"/>
    <x v="1"/>
    <d v="2025-07-29T00:00:00"/>
    <s v="Moderate"/>
    <s v="Yes"/>
    <s v="None"/>
    <s v="Not Recovered"/>
    <n v="49"/>
    <s v="40 to 59"/>
    <x v="1"/>
    <n v="1"/>
    <n v="2"/>
    <n v="1"/>
    <n v="0"/>
    <n v="4"/>
    <s v="Probable"/>
  </r>
  <r>
    <s v="P037"/>
    <n v="45"/>
    <s v="Female"/>
    <x v="7"/>
    <s v="Fluoroquinolone"/>
    <n v="500"/>
    <d v="2025-06-13T00:00:00"/>
    <x v="0"/>
    <m/>
    <s v="None"/>
    <s v="NA"/>
    <s v="None"/>
    <s v="No reaction"/>
    <s v=""/>
    <s v="40 to 59"/>
    <x v="0"/>
    <n v="0"/>
    <n v="0"/>
    <n v="0"/>
    <n v="0"/>
    <s v=""/>
    <s v=""/>
  </r>
  <r>
    <s v="P038"/>
    <n v="69"/>
    <s v="Male"/>
    <x v="7"/>
    <s v="Fluoroquinolone"/>
    <n v="500"/>
    <d v="2025-09-23T00:00:00"/>
    <x v="0"/>
    <m/>
    <s v="None"/>
    <s v="NA"/>
    <s v="None"/>
    <s v="No reaction"/>
    <s v=""/>
    <s v="60 and above"/>
    <x v="0"/>
    <n v="0"/>
    <n v="0"/>
    <n v="0"/>
    <n v="0"/>
    <s v=""/>
    <s v=""/>
  </r>
  <r>
    <s v="P039"/>
    <n v="18"/>
    <s v="Male"/>
    <x v="0"/>
    <s v="Proton Pump Inhibitor"/>
    <n v="20"/>
    <d v="2025-03-11T00:00:00"/>
    <x v="0"/>
    <m/>
    <s v="None"/>
    <s v="NA"/>
    <s v="Aspirin"/>
    <s v="No reaction"/>
    <s v=""/>
    <s v="18 to 39"/>
    <x v="0"/>
    <n v="0"/>
    <n v="0"/>
    <n v="0"/>
    <n v="0"/>
    <s v=""/>
    <s v=""/>
  </r>
  <r>
    <s v="P040"/>
    <n v="29"/>
    <s v="Female"/>
    <x v="4"/>
    <s v="Statin"/>
    <n v="20"/>
    <d v="2025-02-27T00:00:00"/>
    <x v="11"/>
    <d v="2025-03-13T00:00:00"/>
    <s v="Moderate"/>
    <s v="NA"/>
    <s v="None"/>
    <s v="Recovered"/>
    <n v="14"/>
    <s v="18 to 39"/>
    <x v="1"/>
    <n v="1"/>
    <n v="2"/>
    <n v="0"/>
    <n v="0"/>
    <n v="3"/>
    <s v="Probable"/>
  </r>
  <r>
    <s v="P041"/>
    <n v="28"/>
    <s v="Male"/>
    <x v="1"/>
    <s v="Antidiabetic"/>
    <n v="1000"/>
    <d v="2025-04-08T00:00:00"/>
    <x v="0"/>
    <m/>
    <s v="None"/>
    <s v="NA"/>
    <s v="None"/>
    <s v="No reaction"/>
    <s v=""/>
    <s v="18 to 39"/>
    <x v="0"/>
    <n v="0"/>
    <n v="0"/>
    <n v="0"/>
    <n v="0"/>
    <s v=""/>
    <s v=""/>
  </r>
  <r>
    <s v="P042"/>
    <n v="26"/>
    <s v="Male"/>
    <x v="8"/>
    <s v="Antibiotic"/>
    <n v="500"/>
    <d v="2025-03-20T00:00:00"/>
    <x v="0"/>
    <m/>
    <s v="None"/>
    <s v="NA"/>
    <s v="None"/>
    <s v="No reaction"/>
    <s v=""/>
    <s v="18 to 39"/>
    <x v="0"/>
    <n v="0"/>
    <n v="0"/>
    <n v="0"/>
    <n v="0"/>
    <s v=""/>
    <s v=""/>
  </r>
  <r>
    <s v="P043"/>
    <n v="23"/>
    <s v="Male"/>
    <x v="3"/>
    <s v="ACE Inhibitor"/>
    <n v="10"/>
    <d v="2025-07-26T00:00:00"/>
    <x v="12"/>
    <d v="2025-08-17T00:00:00"/>
    <s v="Mild"/>
    <s v="Yes"/>
    <s v="None"/>
    <s v="Recovered"/>
    <n v="22"/>
    <s v="18 to 39"/>
    <x v="1"/>
    <n v="1"/>
    <n v="2"/>
    <n v="1"/>
    <n v="0"/>
    <n v="4"/>
    <s v="Probable"/>
  </r>
  <r>
    <s v="P044"/>
    <n v="52"/>
    <s v="Male"/>
    <x v="6"/>
    <s v="NSAID"/>
    <n v="100"/>
    <d v="2025-02-21T00:00:00"/>
    <x v="8"/>
    <d v="2025-03-22T00:00:00"/>
    <s v="Mild"/>
    <s v="Yes"/>
    <s v="None"/>
    <s v="Recovered"/>
    <n v="29"/>
    <s v="40 to 59"/>
    <x v="1"/>
    <n v="1"/>
    <n v="2"/>
    <n v="1"/>
    <n v="0"/>
    <n v="4"/>
    <s v="Probable"/>
  </r>
  <r>
    <s v="P045"/>
    <n v="34"/>
    <s v="Female"/>
    <x v="2"/>
    <s v="Calcium Channel Blocker"/>
    <n v="5"/>
    <d v="2025-04-18T00:00:00"/>
    <x v="0"/>
    <m/>
    <s v="None"/>
    <s v="NA"/>
    <s v="None"/>
    <s v="No reaction"/>
    <s v=""/>
    <s v="18 to 39"/>
    <x v="0"/>
    <n v="0"/>
    <n v="0"/>
    <n v="0"/>
    <n v="0"/>
    <s v=""/>
    <s v=""/>
  </r>
  <r>
    <s v="P046"/>
    <n v="32"/>
    <s v="Female"/>
    <x v="1"/>
    <s v="Antidiabetic"/>
    <n v="1000"/>
    <d v="2025-05-23T00:00:00"/>
    <x v="0"/>
    <m/>
    <s v="None"/>
    <s v="NA"/>
    <s v="None"/>
    <s v="No reaction"/>
    <s v=""/>
    <s v="18 to 39"/>
    <x v="0"/>
    <n v="0"/>
    <n v="0"/>
    <n v="0"/>
    <n v="0"/>
    <s v=""/>
    <s v=""/>
  </r>
  <r>
    <s v="P047"/>
    <n v="49"/>
    <s v="Male"/>
    <x v="8"/>
    <s v="Antibiotic"/>
    <n v="500"/>
    <d v="2025-05-06T00:00:00"/>
    <x v="13"/>
    <d v="2025-05-12T00:00:00"/>
    <s v="Moderate"/>
    <s v="Yes"/>
    <s v="None"/>
    <s v="Recovered"/>
    <n v="6"/>
    <s v="40 to 59"/>
    <x v="1"/>
    <n v="1"/>
    <n v="2"/>
    <n v="1"/>
    <n v="0"/>
    <n v="4"/>
    <s v="Probable"/>
  </r>
  <r>
    <s v="P048"/>
    <n v="50"/>
    <s v="Female"/>
    <x v="9"/>
    <s v="Anticoagulant"/>
    <n v="5"/>
    <d v="2025-06-19T00:00:00"/>
    <x v="0"/>
    <m/>
    <s v="None"/>
    <s v="NA"/>
    <s v="Aspirin"/>
    <s v="No reaction"/>
    <s v=""/>
    <s v="40 to 59"/>
    <x v="0"/>
    <n v="0"/>
    <n v="0"/>
    <n v="0"/>
    <n v="0"/>
    <s v=""/>
    <s v=""/>
  </r>
  <r>
    <s v="P049"/>
    <n v="22"/>
    <s v="Male"/>
    <x v="8"/>
    <s v="Antibiotic"/>
    <n v="500"/>
    <d v="2025-06-11T00:00:00"/>
    <x v="0"/>
    <m/>
    <s v="None"/>
    <s v="NA"/>
    <s v="None"/>
    <s v="No reaction"/>
    <s v=""/>
    <s v="18 to 39"/>
    <x v="0"/>
    <n v="0"/>
    <n v="0"/>
    <n v="0"/>
    <n v="0"/>
    <s v=""/>
    <s v=""/>
  </r>
  <r>
    <s v="P050"/>
    <n v="46"/>
    <s v="Female"/>
    <x v="3"/>
    <s v="ACE Inhibitor"/>
    <n v="10"/>
    <d v="2025-03-22T00:00:00"/>
    <x v="0"/>
    <m/>
    <s v="None"/>
    <s v="NA"/>
    <s v="None"/>
    <s v="No reaction"/>
    <s v=""/>
    <s v="40 to 59"/>
    <x v="0"/>
    <n v="0"/>
    <n v="0"/>
    <n v="0"/>
    <n v="0"/>
    <s v=""/>
    <s v=""/>
  </r>
  <r>
    <s v="P051"/>
    <n v="55"/>
    <s v="Female"/>
    <x v="7"/>
    <s v="Fluoroquinolone"/>
    <n v="500"/>
    <d v="2025-08-07T00:00:00"/>
    <x v="0"/>
    <m/>
    <s v="None"/>
    <s v="NA"/>
    <s v="Clarithromycin"/>
    <s v="No reaction"/>
    <s v=""/>
    <s v="40 to 59"/>
    <x v="0"/>
    <n v="0"/>
    <n v="0"/>
    <n v="0"/>
    <n v="0"/>
    <s v=""/>
    <s v=""/>
  </r>
  <r>
    <s v="P052"/>
    <n v="66"/>
    <s v="Female"/>
    <x v="8"/>
    <s v="Antibiotic"/>
    <n v="500"/>
    <d v="2025-03-12T00:00:00"/>
    <x v="0"/>
    <m/>
    <s v="None"/>
    <s v="NA"/>
    <s v="None"/>
    <s v="No reaction"/>
    <s v=""/>
    <s v="60 and above"/>
    <x v="0"/>
    <n v="0"/>
    <n v="0"/>
    <n v="0"/>
    <n v="0"/>
    <s v=""/>
    <s v=""/>
  </r>
  <r>
    <s v="P053"/>
    <n v="74"/>
    <s v="Female"/>
    <x v="8"/>
    <s v="Antibiotic"/>
    <n v="500"/>
    <d v="2025-01-06T00:00:00"/>
    <x v="0"/>
    <m/>
    <s v="None"/>
    <s v="NA"/>
    <s v="Clarithromycin"/>
    <s v="No reaction"/>
    <s v=""/>
    <s v="60 and above"/>
    <x v="0"/>
    <n v="0"/>
    <n v="0"/>
    <n v="0"/>
    <n v="0"/>
    <s v=""/>
    <s v=""/>
  </r>
  <r>
    <s v="P054"/>
    <n v="69"/>
    <s v="Male"/>
    <x v="6"/>
    <s v="NSAID"/>
    <n v="100"/>
    <d v="2025-02-17T00:00:00"/>
    <x v="8"/>
    <d v="2025-02-20T00:00:00"/>
    <s v="Mild"/>
    <s v="No"/>
    <s v="None"/>
    <s v="Recovering"/>
    <n v="3"/>
    <s v="60 and above"/>
    <x v="1"/>
    <n v="1"/>
    <n v="2"/>
    <n v="-1"/>
    <n v="0"/>
    <n v="2"/>
    <s v="Possible"/>
  </r>
  <r>
    <s v="P055"/>
    <n v="45"/>
    <s v="Female"/>
    <x v="7"/>
    <s v="Fluoroquinolone"/>
    <n v="500"/>
    <d v="2025-02-09T00:00:00"/>
    <x v="0"/>
    <m/>
    <s v="None"/>
    <s v="NA"/>
    <s v="Ibuprofen"/>
    <s v="No reaction"/>
    <s v=""/>
    <s v="40 to 59"/>
    <x v="0"/>
    <n v="0"/>
    <n v="0"/>
    <n v="0"/>
    <n v="0"/>
    <s v=""/>
    <s v=""/>
  </r>
  <r>
    <s v="P056"/>
    <n v="75"/>
    <s v="Male"/>
    <x v="7"/>
    <s v="Fluoroquinolone"/>
    <n v="500"/>
    <d v="2025-08-01T00:00:00"/>
    <x v="0"/>
    <m/>
    <s v="None"/>
    <s v="NA"/>
    <s v="Ibuprofen"/>
    <s v="No reaction"/>
    <s v=""/>
    <s v="60 and above"/>
    <x v="0"/>
    <n v="0"/>
    <n v="0"/>
    <n v="0"/>
    <n v="0"/>
    <s v=""/>
    <s v=""/>
  </r>
  <r>
    <s v="P057"/>
    <n v="53"/>
    <s v="Female"/>
    <x v="5"/>
    <s v="Analgesic"/>
    <n v="650"/>
    <d v="2025-01-01T00:00:00"/>
    <x v="0"/>
    <m/>
    <s v="None"/>
    <s v="NA"/>
    <s v="Clarithromycin"/>
    <s v="No reaction"/>
    <s v=""/>
    <s v="40 to 59"/>
    <x v="0"/>
    <n v="0"/>
    <n v="0"/>
    <n v="0"/>
    <n v="0"/>
    <s v=""/>
    <s v=""/>
  </r>
  <r>
    <s v="P058"/>
    <n v="37"/>
    <s v="Female"/>
    <x v="9"/>
    <s v="Anticoagulant"/>
    <n v="5"/>
    <d v="2025-04-02T00:00:00"/>
    <x v="0"/>
    <m/>
    <s v="None"/>
    <s v="NA"/>
    <s v="None"/>
    <s v="No reaction"/>
    <s v=""/>
    <s v="18 to 39"/>
    <x v="0"/>
    <n v="0"/>
    <n v="0"/>
    <n v="0"/>
    <n v="0"/>
    <s v=""/>
    <s v=""/>
  </r>
  <r>
    <s v="P059"/>
    <n v="59"/>
    <s v="Female"/>
    <x v="6"/>
    <s v="NSAID"/>
    <n v="100"/>
    <d v="2025-08-24T00:00:00"/>
    <x v="0"/>
    <m/>
    <s v="None"/>
    <s v="NA"/>
    <s v="None"/>
    <s v="No reaction"/>
    <s v=""/>
    <s v="40 to 59"/>
    <x v="0"/>
    <n v="0"/>
    <n v="0"/>
    <n v="0"/>
    <n v="0"/>
    <s v=""/>
    <s v=""/>
  </r>
  <r>
    <s v="P060"/>
    <n v="25"/>
    <s v="Male"/>
    <x v="0"/>
    <s v="Proton Pump Inhibitor"/>
    <n v="20"/>
    <d v="2025-04-29T00:00:00"/>
    <x v="0"/>
    <m/>
    <s v="None"/>
    <s v="NA"/>
    <s v="None"/>
    <s v="No reaction"/>
    <s v=""/>
    <s v="18 to 39"/>
    <x v="0"/>
    <n v="0"/>
    <n v="0"/>
    <n v="0"/>
    <n v="0"/>
    <s v=""/>
    <s v=""/>
  </r>
  <r>
    <s v="P061"/>
    <n v="69"/>
    <s v="Male"/>
    <x v="8"/>
    <s v="Antibiotic"/>
    <n v="500"/>
    <d v="2025-07-15T00:00:00"/>
    <x v="0"/>
    <m/>
    <s v="None"/>
    <s v="NA"/>
    <s v="Aspirin"/>
    <s v="No reaction"/>
    <s v=""/>
    <s v="60 and above"/>
    <x v="0"/>
    <n v="0"/>
    <n v="0"/>
    <n v="0"/>
    <n v="0"/>
    <s v=""/>
    <s v=""/>
  </r>
  <r>
    <s v="P062"/>
    <n v="40"/>
    <s v="Female"/>
    <x v="4"/>
    <s v="Statin"/>
    <n v="20"/>
    <d v="2025-07-11T00:00:00"/>
    <x v="0"/>
    <m/>
    <s v="None"/>
    <s v="NA"/>
    <s v="Aspirin"/>
    <s v="No reaction"/>
    <s v=""/>
    <s v="40 to 59"/>
    <x v="0"/>
    <n v="0"/>
    <n v="0"/>
    <n v="0"/>
    <n v="0"/>
    <s v=""/>
    <s v=""/>
  </r>
  <r>
    <s v="P063"/>
    <n v="39"/>
    <s v="Female"/>
    <x v="7"/>
    <s v="Fluoroquinolone"/>
    <n v="500"/>
    <d v="2025-07-24T00:00:00"/>
    <x v="4"/>
    <d v="2025-07-26T00:00:00"/>
    <s v="Moderate"/>
    <s v="NA"/>
    <s v="Ibuprofen"/>
    <s v="Recovering"/>
    <n v="2"/>
    <s v="18 to 39"/>
    <x v="1"/>
    <n v="1"/>
    <n v="2"/>
    <n v="0"/>
    <n v="-1"/>
    <n v="2"/>
    <s v="Possible"/>
  </r>
  <r>
    <s v="P064"/>
    <n v="74"/>
    <s v="Male"/>
    <x v="0"/>
    <s v="Proton Pump Inhibitor"/>
    <n v="20"/>
    <d v="2025-01-14T00:00:00"/>
    <x v="0"/>
    <m/>
    <s v="None"/>
    <s v="NA"/>
    <s v="Clarithromycin"/>
    <s v="No reaction"/>
    <s v=""/>
    <s v="60 and above"/>
    <x v="0"/>
    <n v="0"/>
    <n v="0"/>
    <n v="0"/>
    <n v="0"/>
    <s v=""/>
    <s v=""/>
  </r>
  <r>
    <s v="P065"/>
    <n v="68"/>
    <s v="Male"/>
    <x v="6"/>
    <s v="NSAID"/>
    <n v="100"/>
    <d v="2025-05-23T00:00:00"/>
    <x v="0"/>
    <m/>
    <s v="None"/>
    <s v="NA"/>
    <s v="Ibuprofen"/>
    <s v="No reaction"/>
    <s v=""/>
    <s v="60 and above"/>
    <x v="0"/>
    <n v="0"/>
    <n v="0"/>
    <n v="0"/>
    <n v="0"/>
    <s v=""/>
    <s v=""/>
  </r>
  <r>
    <s v="P066"/>
    <n v="41"/>
    <s v="Female"/>
    <x v="5"/>
    <s v="Analgesic"/>
    <n v="650"/>
    <d v="2025-08-27T00:00:00"/>
    <x v="0"/>
    <m/>
    <s v="None"/>
    <s v="NA"/>
    <s v="None"/>
    <s v="No reaction"/>
    <s v=""/>
    <s v="40 to 59"/>
    <x v="0"/>
    <n v="0"/>
    <n v="0"/>
    <n v="0"/>
    <n v="0"/>
    <s v=""/>
    <s v=""/>
  </r>
  <r>
    <s v="P067"/>
    <n v="23"/>
    <s v="Male"/>
    <x v="8"/>
    <s v="Antibiotic"/>
    <n v="500"/>
    <d v="2025-04-19T00:00:00"/>
    <x v="0"/>
    <m/>
    <s v="None"/>
    <s v="NA"/>
    <s v="None"/>
    <s v="No reaction"/>
    <s v=""/>
    <s v="18 to 39"/>
    <x v="0"/>
    <n v="0"/>
    <n v="0"/>
    <n v="0"/>
    <n v="0"/>
    <s v=""/>
    <s v=""/>
  </r>
  <r>
    <s v="P068"/>
    <n v="36"/>
    <s v="Female"/>
    <x v="3"/>
    <s v="ACE Inhibitor"/>
    <n v="10"/>
    <d v="2025-09-04T00:00:00"/>
    <x v="1"/>
    <d v="2025-09-14T00:00:00"/>
    <s v="Mild"/>
    <s v="Yes"/>
    <s v="Ibuprofen"/>
    <s v="Recovered"/>
    <n v="10"/>
    <s v="18 to 39"/>
    <x v="1"/>
    <n v="1"/>
    <n v="2"/>
    <n v="1"/>
    <n v="-1"/>
    <n v="3"/>
    <s v="Probable"/>
  </r>
  <r>
    <s v="P069"/>
    <n v="29"/>
    <s v="Female"/>
    <x v="9"/>
    <s v="Anticoagulant"/>
    <n v="5"/>
    <d v="2025-05-16T00:00:00"/>
    <x v="7"/>
    <d v="2025-06-12T00:00:00"/>
    <s v="Moderate"/>
    <s v="Yes"/>
    <s v="None"/>
    <s v="Recovering"/>
    <n v="27"/>
    <s v="18 to 39"/>
    <x v="1"/>
    <n v="1"/>
    <n v="2"/>
    <n v="1"/>
    <n v="0"/>
    <n v="4"/>
    <s v="Probable"/>
  </r>
  <r>
    <s v="P070"/>
    <n v="35"/>
    <s v="Male"/>
    <x v="3"/>
    <s v="ACE Inhibitor"/>
    <n v="10"/>
    <d v="2025-02-11T00:00:00"/>
    <x v="0"/>
    <m/>
    <s v="None"/>
    <s v="NA"/>
    <s v="Clarithromycin"/>
    <s v="No reaction"/>
    <s v=""/>
    <s v="18 to 39"/>
    <x v="0"/>
    <n v="0"/>
    <n v="0"/>
    <n v="0"/>
    <n v="0"/>
    <s v=""/>
    <s v=""/>
  </r>
  <r>
    <s v="P071"/>
    <n v="43"/>
    <s v="Female"/>
    <x v="0"/>
    <s v="Proton Pump Inhibitor"/>
    <n v="20"/>
    <d v="2025-05-20T00:00:00"/>
    <x v="0"/>
    <m/>
    <s v="None"/>
    <s v="NA"/>
    <s v="None"/>
    <s v="No reaction"/>
    <s v=""/>
    <s v="40 to 59"/>
    <x v="0"/>
    <n v="0"/>
    <n v="0"/>
    <n v="0"/>
    <n v="0"/>
    <s v=""/>
    <s v=""/>
  </r>
  <r>
    <s v="P072"/>
    <n v="41"/>
    <s v="Female"/>
    <x v="2"/>
    <s v="Calcium Channel Blocker"/>
    <n v="5"/>
    <d v="2025-09-08T00:00:00"/>
    <x v="14"/>
    <d v="2025-09-18T00:00:00"/>
    <s v="Mild"/>
    <s v="Yes"/>
    <s v="Clarithromycin"/>
    <s v="Recovered"/>
    <n v="10"/>
    <s v="40 to 59"/>
    <x v="1"/>
    <n v="1"/>
    <n v="2"/>
    <n v="1"/>
    <n v="-1"/>
    <n v="3"/>
    <s v="Probable"/>
  </r>
  <r>
    <s v="P073"/>
    <n v="64"/>
    <s v="Male"/>
    <x v="0"/>
    <s v="Proton Pump Inhibitor"/>
    <n v="20"/>
    <d v="2025-09-02T00:00:00"/>
    <x v="14"/>
    <d v="2025-09-29T00:00:00"/>
    <s v="Mild"/>
    <s v="NA"/>
    <s v="Aspirin"/>
    <s v="Recovering"/>
    <n v="27"/>
    <s v="60 and above"/>
    <x v="1"/>
    <n v="1"/>
    <n v="2"/>
    <n v="0"/>
    <n v="-1"/>
    <n v="2"/>
    <s v="Possible"/>
  </r>
  <r>
    <s v="P074"/>
    <n v="39"/>
    <s v="Female"/>
    <x v="5"/>
    <s v="Analgesic"/>
    <n v="650"/>
    <d v="2025-03-31T00:00:00"/>
    <x v="0"/>
    <m/>
    <s v="None"/>
    <s v="NA"/>
    <s v="Aspirin"/>
    <s v="No reaction"/>
    <s v=""/>
    <s v="18 to 39"/>
    <x v="0"/>
    <n v="0"/>
    <n v="0"/>
    <n v="0"/>
    <n v="0"/>
    <s v=""/>
    <s v=""/>
  </r>
  <r>
    <s v="P075"/>
    <n v="60"/>
    <s v="Female"/>
    <x v="1"/>
    <s v="Antidiabetic"/>
    <n v="1000"/>
    <d v="2025-08-28T00:00:00"/>
    <x v="0"/>
    <m/>
    <s v="None"/>
    <s v="NA"/>
    <s v="Aspirin"/>
    <s v="No reaction"/>
    <s v=""/>
    <s v="60 and above"/>
    <x v="0"/>
    <n v="0"/>
    <n v="0"/>
    <n v="0"/>
    <n v="0"/>
    <s v=""/>
    <s v=""/>
  </r>
  <r>
    <s v="P076"/>
    <n v="28"/>
    <s v="Male"/>
    <x v="2"/>
    <s v="Calcium Channel Blocker"/>
    <n v="5"/>
    <d v="2025-03-01T00:00:00"/>
    <x v="0"/>
    <m/>
    <s v="None"/>
    <s v="NA"/>
    <s v="None"/>
    <s v="No reaction"/>
    <s v=""/>
    <s v="18 to 39"/>
    <x v="0"/>
    <n v="0"/>
    <n v="0"/>
    <n v="0"/>
    <n v="0"/>
    <s v=""/>
    <s v=""/>
  </r>
  <r>
    <s v="P077"/>
    <n v="67"/>
    <s v="Male"/>
    <x v="9"/>
    <s v="Anticoagulant"/>
    <n v="5"/>
    <d v="2025-03-25T00:00:00"/>
    <x v="0"/>
    <m/>
    <s v="None"/>
    <s v="NA"/>
    <s v="None"/>
    <s v="No reaction"/>
    <s v=""/>
    <s v="60 and above"/>
    <x v="0"/>
    <n v="0"/>
    <n v="0"/>
    <n v="0"/>
    <n v="0"/>
    <s v=""/>
    <s v=""/>
  </r>
  <r>
    <s v="P078"/>
    <n v="73"/>
    <s v="Female"/>
    <x v="3"/>
    <s v="ACE Inhibitor"/>
    <n v="10"/>
    <d v="2025-09-07T00:00:00"/>
    <x v="1"/>
    <d v="2025-09-17T00:00:00"/>
    <s v="Mild"/>
    <s v="Yes"/>
    <s v="Aspirin"/>
    <s v="Recovering"/>
    <n v="10"/>
    <s v="60 and above"/>
    <x v="1"/>
    <n v="1"/>
    <n v="2"/>
    <n v="1"/>
    <n v="-1"/>
    <n v="3"/>
    <s v="Probable"/>
  </r>
  <r>
    <s v="P079"/>
    <n v="61"/>
    <s v="Male"/>
    <x v="6"/>
    <s v="NSAID"/>
    <n v="100"/>
    <d v="2025-01-24T00:00:00"/>
    <x v="0"/>
    <m/>
    <s v="None"/>
    <s v="NA"/>
    <s v="None"/>
    <s v="No reaction"/>
    <s v=""/>
    <s v="60 and above"/>
    <x v="0"/>
    <n v="0"/>
    <n v="0"/>
    <n v="0"/>
    <n v="0"/>
    <s v=""/>
    <s v=""/>
  </r>
  <r>
    <s v="P080"/>
    <n v="72"/>
    <s v="Male"/>
    <x v="4"/>
    <s v="Statin"/>
    <n v="20"/>
    <d v="2025-04-26T00:00:00"/>
    <x v="11"/>
    <d v="2025-07-19T00:00:00"/>
    <s v="Mild"/>
    <s v="Yes"/>
    <s v="None"/>
    <s v="Recovered"/>
    <n v="84"/>
    <s v="60 and above"/>
    <x v="1"/>
    <n v="1"/>
    <n v="2"/>
    <n v="1"/>
    <n v="0"/>
    <n v="4"/>
    <s v="Probabl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E81121-3DA5-4E02-9BAA-BFB4B3238938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P14" firstHeaderRow="1" firstDataRow="2" firstDataCol="1" rowPageCount="1" colPageCount="1"/>
  <pivotFields count="22">
    <pivotField dataField="1" showAll="0"/>
    <pivotField showAll="0"/>
    <pivotField showAll="0"/>
    <pivotField axis="axisRow" showAll="0">
      <items count="11">
        <item x="2"/>
        <item x="8"/>
        <item x="4"/>
        <item x="7"/>
        <item x="6"/>
        <item x="3"/>
        <item x="1"/>
        <item x="0"/>
        <item x="5"/>
        <item x="9"/>
        <item t="default"/>
      </items>
    </pivotField>
    <pivotField showAll="0"/>
    <pivotField showAll="0"/>
    <pivotField numFmtId="164" showAll="0"/>
    <pivotField axis="axisCol" showAll="0">
      <items count="16">
        <item x="9"/>
        <item x="7"/>
        <item x="5"/>
        <item x="1"/>
        <item x="10"/>
        <item x="8"/>
        <item x="2"/>
        <item x="14"/>
        <item x="12"/>
        <item x="6"/>
        <item x="11"/>
        <item x="4"/>
        <item x="0"/>
        <item x="13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3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9"/>
    </i>
    <i t="grand">
      <x/>
    </i>
  </rowItems>
  <colFields count="1">
    <field x="7"/>
  </colFields>
  <col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3"/>
    </i>
    <i>
      <x v="14"/>
    </i>
    <i t="grand">
      <x/>
    </i>
  </colItems>
  <pageFields count="1">
    <pageField fld="15" item="1" hier="-1"/>
  </pageFields>
  <dataFields count="1">
    <dataField name="Count of Patient_ID" fld="0" subtotal="count" baseField="0" baseItem="0"/>
  </dataFields>
  <chartFormats count="29">
    <chartFormat chart="0" format="0" series="1">
      <pivotArea type="data" outline="0" fieldPosition="0">
        <references count="1">
          <reference field="7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7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7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7" count="1" selected="0">
            <x v="3"/>
          </reference>
        </references>
      </pivotArea>
    </chartFormat>
    <chartFormat chart="0" format="4" series="1">
      <pivotArea type="data" outline="0" fieldPosition="0">
        <references count="1">
          <reference field="7" count="1" selected="0">
            <x v="4"/>
          </reference>
        </references>
      </pivotArea>
    </chartFormat>
    <chartFormat chart="0" format="5" series="1">
      <pivotArea type="data" outline="0" fieldPosition="0">
        <references count="1">
          <reference field="7" count="1" selected="0">
            <x v="5"/>
          </reference>
        </references>
      </pivotArea>
    </chartFormat>
    <chartFormat chart="0" format="6" series="1">
      <pivotArea type="data" outline="0" fieldPosition="0">
        <references count="1">
          <reference field="7" count="1" selected="0">
            <x v="6"/>
          </reference>
        </references>
      </pivotArea>
    </chartFormat>
    <chartFormat chart="0" format="7" series="1">
      <pivotArea type="data" outline="0" fieldPosition="0">
        <references count="1">
          <reference field="7" count="1" selected="0">
            <x v="7"/>
          </reference>
        </references>
      </pivotArea>
    </chartFormat>
    <chartFormat chart="0" format="8" series="1">
      <pivotArea type="data" outline="0" fieldPosition="0">
        <references count="1">
          <reference field="7" count="1" selected="0">
            <x v="8"/>
          </reference>
        </references>
      </pivotArea>
    </chartFormat>
    <chartFormat chart="0" format="9" series="1">
      <pivotArea type="data" outline="0" fieldPosition="0">
        <references count="1">
          <reference field="7" count="1" selected="0">
            <x v="9"/>
          </reference>
        </references>
      </pivotArea>
    </chartFormat>
    <chartFormat chart="0" format="10" series="1">
      <pivotArea type="data" outline="0" fieldPosition="0">
        <references count="1">
          <reference field="7" count="1" selected="0">
            <x v="10"/>
          </reference>
        </references>
      </pivotArea>
    </chartFormat>
    <chartFormat chart="0" format="11" series="1">
      <pivotArea type="data" outline="0" fieldPosition="0">
        <references count="1">
          <reference field="7" count="1" selected="0">
            <x v="11"/>
          </reference>
        </references>
      </pivotArea>
    </chartFormat>
    <chartFormat chart="0" format="12" series="1">
      <pivotArea type="data" outline="0" fieldPosition="0">
        <references count="1">
          <reference field="7" count="1" selected="0">
            <x v="12"/>
          </reference>
        </references>
      </pivotArea>
    </chartFormat>
    <chartFormat chart="0" format="13" series="1">
      <pivotArea type="data" outline="0" fieldPosition="0">
        <references count="1">
          <reference field="7" count="1" selected="0">
            <x v="13"/>
          </reference>
        </references>
      </pivotArea>
    </chartFormat>
    <chartFormat chart="0" format="14" series="1">
      <pivotArea type="data" outline="0" fieldPosition="0">
        <references count="1">
          <reference field="7" count="1" selected="0">
            <x v="14"/>
          </reference>
        </references>
      </pivotArea>
    </chartFormat>
    <chartFormat chart="0" format="15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0" format="18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0" format="19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0" format="2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5"/>
          </reference>
        </references>
      </pivotArea>
    </chartFormat>
    <chartFormat chart="0" format="2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6"/>
          </reference>
        </references>
      </pivotArea>
    </chartFormat>
    <chartFormat chart="0" format="2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7"/>
          </reference>
        </references>
      </pivotArea>
    </chartFormat>
    <chartFormat chart="0" format="23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8"/>
          </reference>
        </references>
      </pivotArea>
    </chartFormat>
    <chartFormat chart="0" format="24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9"/>
          </reference>
        </references>
      </pivotArea>
    </chartFormat>
    <chartFormat chart="0" format="25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0"/>
          </reference>
        </references>
      </pivotArea>
    </chartFormat>
    <chartFormat chart="0" format="26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1"/>
          </reference>
        </references>
      </pivotArea>
    </chartFormat>
    <chartFormat chart="0" format="27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3"/>
          </reference>
        </references>
      </pivotArea>
    </chartFormat>
    <chartFormat chart="0" format="28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B080C-7376-42FE-940F-E429EBA5A318}">
  <dimension ref="A1:P14"/>
  <sheetViews>
    <sheetView workbookViewId="0">
      <selection activeCell="P21" sqref="P21"/>
    </sheetView>
  </sheetViews>
  <sheetFormatPr defaultRowHeight="15" x14ac:dyDescent="0.25"/>
  <cols>
    <col min="1" max="1" width="18.5703125" bestFit="1" customWidth="1"/>
    <col min="2" max="2" width="16.28515625" bestFit="1" customWidth="1"/>
    <col min="3" max="3" width="8.140625" bestFit="1" customWidth="1"/>
    <col min="4" max="4" width="8.5703125" bestFit="1" customWidth="1"/>
    <col min="5" max="5" width="10" bestFit="1" customWidth="1"/>
    <col min="6" max="6" width="22" bestFit="1" customWidth="1"/>
    <col min="7" max="7" width="8.42578125" bestFit="1" customWidth="1"/>
    <col min="8" max="8" width="11.28515625" bestFit="1" customWidth="1"/>
    <col min="9" max="9" width="9.7109375" bestFit="1" customWidth="1"/>
    <col min="10" max="10" width="13.42578125" bestFit="1" customWidth="1"/>
    <col min="11" max="11" width="13.7109375" bestFit="1" customWidth="1"/>
    <col min="12" max="12" width="8" bestFit="1" customWidth="1"/>
    <col min="13" max="13" width="7.5703125" bestFit="1" customWidth="1"/>
    <col min="14" max="14" width="9.28515625" bestFit="1" customWidth="1"/>
    <col min="15" max="15" width="12" bestFit="1" customWidth="1"/>
    <col min="16" max="17" width="11.28515625" bestFit="1" customWidth="1"/>
  </cols>
  <sheetData>
    <row r="1" spans="1:16" x14ac:dyDescent="0.25">
      <c r="A1" s="8" t="s">
        <v>154</v>
      </c>
      <c r="B1" s="9">
        <v>1</v>
      </c>
    </row>
    <row r="3" spans="1:16" x14ac:dyDescent="0.25">
      <c r="A3" s="8" t="s">
        <v>177</v>
      </c>
      <c r="B3" s="8" t="s">
        <v>176</v>
      </c>
    </row>
    <row r="4" spans="1:16" x14ac:dyDescent="0.25">
      <c r="A4" s="8" t="s">
        <v>174</v>
      </c>
      <c r="B4" t="s">
        <v>77</v>
      </c>
      <c r="C4" t="s">
        <v>73</v>
      </c>
      <c r="D4" t="s">
        <v>65</v>
      </c>
      <c r="E4" t="s">
        <v>32</v>
      </c>
      <c r="F4" t="s">
        <v>88</v>
      </c>
      <c r="G4" t="s">
        <v>75</v>
      </c>
      <c r="H4" t="s">
        <v>46</v>
      </c>
      <c r="I4" t="s">
        <v>135</v>
      </c>
      <c r="J4" t="s">
        <v>104</v>
      </c>
      <c r="K4" t="s">
        <v>69</v>
      </c>
      <c r="L4" t="s">
        <v>95</v>
      </c>
      <c r="M4" t="s">
        <v>60</v>
      </c>
      <c r="N4" t="s">
        <v>109</v>
      </c>
      <c r="O4" t="s">
        <v>58</v>
      </c>
      <c r="P4" t="s">
        <v>175</v>
      </c>
    </row>
    <row r="5" spans="1:16" x14ac:dyDescent="0.25">
      <c r="A5" s="9" t="s">
        <v>26</v>
      </c>
      <c r="B5">
        <v>1</v>
      </c>
      <c r="I5">
        <v>1</v>
      </c>
      <c r="P5">
        <v>2</v>
      </c>
    </row>
    <row r="6" spans="1:16" x14ac:dyDescent="0.25">
      <c r="A6" s="9" t="s">
        <v>63</v>
      </c>
      <c r="D6">
        <v>1</v>
      </c>
      <c r="N6">
        <v>1</v>
      </c>
      <c r="P6">
        <v>2</v>
      </c>
    </row>
    <row r="7" spans="1:16" x14ac:dyDescent="0.25">
      <c r="A7" s="9" t="s">
        <v>38</v>
      </c>
      <c r="F7">
        <v>1</v>
      </c>
      <c r="L7">
        <v>3</v>
      </c>
      <c r="P7">
        <v>4</v>
      </c>
    </row>
    <row r="8" spans="1:16" x14ac:dyDescent="0.25">
      <c r="A8" s="9" t="s">
        <v>56</v>
      </c>
      <c r="M8">
        <v>1</v>
      </c>
      <c r="O8">
        <v>1</v>
      </c>
      <c r="P8">
        <v>2</v>
      </c>
    </row>
    <row r="9" spans="1:16" x14ac:dyDescent="0.25">
      <c r="A9" s="9" t="s">
        <v>44</v>
      </c>
      <c r="G9">
        <v>3</v>
      </c>
      <c r="H9">
        <v>1</v>
      </c>
      <c r="P9">
        <v>4</v>
      </c>
    </row>
    <row r="10" spans="1:16" x14ac:dyDescent="0.25">
      <c r="A10" s="9" t="s">
        <v>30</v>
      </c>
      <c r="E10">
        <v>4</v>
      </c>
      <c r="J10">
        <v>1</v>
      </c>
      <c r="P10">
        <v>5</v>
      </c>
    </row>
    <row r="11" spans="1:16" x14ac:dyDescent="0.25">
      <c r="A11" s="9" t="s">
        <v>21</v>
      </c>
      <c r="K11">
        <v>1</v>
      </c>
      <c r="M11">
        <v>1</v>
      </c>
      <c r="P11">
        <v>2</v>
      </c>
    </row>
    <row r="12" spans="1:16" x14ac:dyDescent="0.25">
      <c r="A12" s="9" t="s">
        <v>15</v>
      </c>
      <c r="I12">
        <v>1</v>
      </c>
      <c r="P12">
        <v>1</v>
      </c>
    </row>
    <row r="13" spans="1:16" x14ac:dyDescent="0.25">
      <c r="A13" s="9" t="s">
        <v>71</v>
      </c>
      <c r="C13">
        <v>4</v>
      </c>
      <c r="P13">
        <v>4</v>
      </c>
    </row>
    <row r="14" spans="1:16" x14ac:dyDescent="0.25">
      <c r="A14" s="9" t="s">
        <v>175</v>
      </c>
      <c r="B14">
        <v>1</v>
      </c>
      <c r="C14">
        <v>4</v>
      </c>
      <c r="D14">
        <v>1</v>
      </c>
      <c r="E14">
        <v>4</v>
      </c>
      <c r="F14">
        <v>1</v>
      </c>
      <c r="G14">
        <v>3</v>
      </c>
      <c r="H14">
        <v>1</v>
      </c>
      <c r="I14">
        <v>2</v>
      </c>
      <c r="J14">
        <v>1</v>
      </c>
      <c r="K14">
        <v>1</v>
      </c>
      <c r="L14">
        <v>3</v>
      </c>
      <c r="M14">
        <v>2</v>
      </c>
      <c r="N14">
        <v>1</v>
      </c>
      <c r="O14">
        <v>1</v>
      </c>
      <c r="P14">
        <v>26</v>
      </c>
    </row>
  </sheetData>
  <conditionalFormatting sqref="B4:P14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49DBB-71A4-4CD6-92E9-4841A7B4B081}">
  <dimension ref="A1:H13"/>
  <sheetViews>
    <sheetView workbookViewId="0">
      <selection activeCell="Q16" sqref="Q16"/>
    </sheetView>
  </sheetViews>
  <sheetFormatPr defaultRowHeight="15" x14ac:dyDescent="0.25"/>
  <cols>
    <col min="1" max="1" width="14.5703125" customWidth="1"/>
    <col min="2" max="2" width="12.42578125" customWidth="1"/>
    <col min="3" max="3" width="11.140625" customWidth="1"/>
  </cols>
  <sheetData>
    <row r="1" spans="1:8" x14ac:dyDescent="0.25">
      <c r="A1" t="s">
        <v>153</v>
      </c>
      <c r="B1" t="s">
        <v>178</v>
      </c>
      <c r="C1" t="s">
        <v>179</v>
      </c>
      <c r="D1" t="s">
        <v>167</v>
      </c>
      <c r="F1" t="s">
        <v>9</v>
      </c>
      <c r="G1" t="s">
        <v>187</v>
      </c>
      <c r="H1" t="s">
        <v>188</v>
      </c>
    </row>
    <row r="2" spans="1:8" x14ac:dyDescent="0.25">
      <c r="A2" t="s">
        <v>180</v>
      </c>
      <c r="B2">
        <f>COUNTIFS(Patient_Data!$O$2:$O$81,A2)</f>
        <v>3</v>
      </c>
      <c r="C2">
        <f>COUNTIFS(Patient_Data!$O$2:$O$81,A2,Patient_Data!$P$2:$P$81,1)</f>
        <v>3</v>
      </c>
      <c r="D2">
        <f>C2/B2</f>
        <v>1</v>
      </c>
      <c r="F2" t="s">
        <v>33</v>
      </c>
      <c r="G2">
        <f>COUNTIFS(Patient_Data!$J$2:$J$81,F2)</f>
        <v>17</v>
      </c>
      <c r="H2" s="7">
        <f>G2/SUM($G$2:$G$4)</f>
        <v>0.65384615384615385</v>
      </c>
    </row>
    <row r="3" spans="1:8" x14ac:dyDescent="0.25">
      <c r="A3" t="s">
        <v>182</v>
      </c>
      <c r="B3">
        <f>COUNTIFS(Patient_Data!$O$2:$O$81,A3)</f>
        <v>30</v>
      </c>
      <c r="C3">
        <f>COUNTIFS(Patient_Data!$O$2:$O$81,A3,Patient_Data!$P$2:$P$81,1)</f>
        <v>10</v>
      </c>
      <c r="D3">
        <f t="shared" ref="D3:D13" si="0">C3/B3</f>
        <v>0.33333333333333331</v>
      </c>
      <c r="F3" t="s">
        <v>89</v>
      </c>
      <c r="G3">
        <f>COUNTIFS(Patient_Data!$J$2:$J$81,F3)</f>
        <v>7</v>
      </c>
      <c r="H3" s="7">
        <f t="shared" ref="H3:H4" si="1">G3/SUM($G$2:$G$4)</f>
        <v>0.26923076923076922</v>
      </c>
    </row>
    <row r="4" spans="1:8" x14ac:dyDescent="0.25">
      <c r="A4" t="s">
        <v>183</v>
      </c>
      <c r="B4">
        <f>COUNTIFS(Patient_Data!$O$2:$O$81,A4)</f>
        <v>24</v>
      </c>
      <c r="C4">
        <f>COUNTIFS(Patient_Data!$O$2:$O$81,A4,Patient_Data!$P$2:$P$81,1)</f>
        <v>5</v>
      </c>
      <c r="D4">
        <f t="shared" si="0"/>
        <v>0.20833333333333334</v>
      </c>
      <c r="F4" t="s">
        <v>47</v>
      </c>
      <c r="G4">
        <f>COUNTIFS(Patient_Data!$J$2:$J$81,F4)</f>
        <v>2</v>
      </c>
      <c r="H4" s="7">
        <f t="shared" si="1"/>
        <v>7.6923076923076927E-2</v>
      </c>
    </row>
    <row r="5" spans="1:8" x14ac:dyDescent="0.25">
      <c r="A5" t="s">
        <v>181</v>
      </c>
      <c r="B5">
        <f>COUNTIFS(Patient_Data!$O$2:$O$81,A5)</f>
        <v>23</v>
      </c>
      <c r="C5">
        <f>COUNTIFS(Patient_Data!$O$2:$O$81,A5,Patient_Data!$P$2:$P$81,1)</f>
        <v>8</v>
      </c>
      <c r="D5">
        <f t="shared" si="0"/>
        <v>0.34782608695652173</v>
      </c>
    </row>
    <row r="7" spans="1:8" x14ac:dyDescent="0.25">
      <c r="A7" t="s">
        <v>2</v>
      </c>
      <c r="F7" t="s">
        <v>189</v>
      </c>
      <c r="G7" t="s">
        <v>187</v>
      </c>
      <c r="H7" t="s">
        <v>188</v>
      </c>
    </row>
    <row r="8" spans="1:8" x14ac:dyDescent="0.25">
      <c r="A8" t="s">
        <v>14</v>
      </c>
      <c r="B8">
        <f>COUNTIFS(Patient_Data!$C$2:$C$81,A8)</f>
        <v>43</v>
      </c>
      <c r="C8">
        <f>COUNTIFS(Patient_Data!$C$2:$C$81,A8,Patient_Data!$P$2:$P$81,1)</f>
        <v>13</v>
      </c>
      <c r="D8">
        <f t="shared" si="0"/>
        <v>0.30232558139534882</v>
      </c>
      <c r="F8" t="s">
        <v>190</v>
      </c>
      <c r="G8">
        <f>COUNTIFS(Patient_Data!$V$2:$V$81,F8)</f>
        <v>17</v>
      </c>
      <c r="H8" s="7">
        <f>G8/SUM($G$8:$G$10)</f>
        <v>0.65384615384615385</v>
      </c>
    </row>
    <row r="9" spans="1:8" x14ac:dyDescent="0.25">
      <c r="A9" t="s">
        <v>24</v>
      </c>
      <c r="B9">
        <f>COUNTIFS(Patient_Data!$C$2:$C$81,A9)</f>
        <v>37</v>
      </c>
      <c r="C9">
        <f>COUNTIFS(Patient_Data!$C$2:$C$81,A9,Patient_Data!$P$2:$P$81,1)</f>
        <v>13</v>
      </c>
      <c r="D9">
        <f t="shared" si="0"/>
        <v>0.35135135135135137</v>
      </c>
      <c r="F9" t="s">
        <v>191</v>
      </c>
      <c r="G9">
        <f>COUNTIFS(Patient_Data!$V$2:$V$81,F9)</f>
        <v>9</v>
      </c>
      <c r="H9" s="7">
        <f t="shared" ref="H9:H10" si="2">G9/SUM($G$8:$G$10)</f>
        <v>0.34615384615384615</v>
      </c>
    </row>
    <row r="10" spans="1:8" x14ac:dyDescent="0.25">
      <c r="F10" t="s">
        <v>192</v>
      </c>
      <c r="G10">
        <f>COUNTIFS(Patient_Data!$V$2:$V$81,F10)</f>
        <v>0</v>
      </c>
      <c r="H10" s="7">
        <f t="shared" si="2"/>
        <v>0</v>
      </c>
    </row>
    <row r="11" spans="1:8" x14ac:dyDescent="0.25">
      <c r="A11" t="s">
        <v>184</v>
      </c>
    </row>
    <row r="12" spans="1:8" x14ac:dyDescent="0.25">
      <c r="A12" t="s">
        <v>185</v>
      </c>
      <c r="B12">
        <f>COUNTIFS(Patient_Data!$L$2:$L$81,"&lt;&gt;None")</f>
        <v>35</v>
      </c>
      <c r="C12">
        <f>COUNTIFS(Patient_Data!$L$2:$L$81,"&lt;&gt;None",Patient_Data!$P$2:$P$81,1)</f>
        <v>13</v>
      </c>
      <c r="D12">
        <f t="shared" si="0"/>
        <v>0.37142857142857144</v>
      </c>
    </row>
    <row r="13" spans="1:8" x14ac:dyDescent="0.25">
      <c r="A13" t="s">
        <v>186</v>
      </c>
      <c r="B13">
        <f>COUNTIFS(Patient_Data!$L$2:$L$81,"None")</f>
        <v>45</v>
      </c>
      <c r="C13">
        <f>COUNTIFS(Patient_Data!$L$2:$L$81,"None",Patient_Data!$P$2:$P$81,1)</f>
        <v>13</v>
      </c>
      <c r="D13">
        <f t="shared" si="0"/>
        <v>0.28888888888888886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84"/>
  <sheetViews>
    <sheetView tabSelected="1" zoomScale="66" zoomScaleNormal="62" workbookViewId="0">
      <pane ySplit="1" topLeftCell="A2" activePane="bottomLeft" state="frozen"/>
      <selection pane="bottomLeft" activeCell="J9" sqref="J9"/>
    </sheetView>
  </sheetViews>
  <sheetFormatPr defaultRowHeight="15" x14ac:dyDescent="0.25"/>
  <cols>
    <col min="1" max="4" width="16" customWidth="1"/>
    <col min="5" max="5" width="24" customWidth="1"/>
    <col min="6" max="7" width="16" customWidth="1"/>
    <col min="8" max="8" width="22" customWidth="1"/>
    <col min="9" max="13" width="16" customWidth="1"/>
  </cols>
  <sheetData>
    <row r="1" spans="1:22" ht="32.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6" t="s">
        <v>152</v>
      </c>
      <c r="O1" s="6" t="s">
        <v>153</v>
      </c>
      <c r="P1" s="6" t="s">
        <v>154</v>
      </c>
      <c r="Q1" s="6" t="s">
        <v>155</v>
      </c>
      <c r="R1" s="6" t="s">
        <v>156</v>
      </c>
      <c r="S1" s="6" t="s">
        <v>157</v>
      </c>
      <c r="T1" s="6" t="s">
        <v>158</v>
      </c>
      <c r="U1" s="6" t="s">
        <v>159</v>
      </c>
      <c r="V1" s="6" t="s">
        <v>160</v>
      </c>
    </row>
    <row r="2" spans="1:22" x14ac:dyDescent="0.25">
      <c r="A2" s="2" t="s">
        <v>13</v>
      </c>
      <c r="B2" s="2">
        <v>34</v>
      </c>
      <c r="C2" s="2" t="s">
        <v>14</v>
      </c>
      <c r="D2" s="2" t="s">
        <v>15</v>
      </c>
      <c r="E2" s="2" t="s">
        <v>16</v>
      </c>
      <c r="F2" s="2">
        <v>20</v>
      </c>
      <c r="G2" s="3">
        <v>45870</v>
      </c>
      <c r="H2" s="2" t="s">
        <v>17</v>
      </c>
      <c r="I2" s="3"/>
      <c r="J2" s="2" t="s">
        <v>17</v>
      </c>
      <c r="K2" s="2" t="s">
        <v>18</v>
      </c>
      <c r="L2" s="2" t="s">
        <v>17</v>
      </c>
      <c r="M2" s="2" t="s">
        <v>19</v>
      </c>
      <c r="N2" t="str">
        <f>IF(H2="None","",I2-G2)</f>
        <v/>
      </c>
      <c r="O2" t="str">
        <f>IF(B2&lt;18,"Under 18",IF(B2&lt;40,"18 to 39",IF(B2&lt;60,"40 to 59","60 and above")))</f>
        <v>18 to 39</v>
      </c>
      <c r="P2">
        <f>IF(H2="None",0,1)</f>
        <v>0</v>
      </c>
      <c r="Q2">
        <f>IF(P2=0,0,IF(COUNTIFS(Known_ADRs!$A$2:$A$31,D2,Known_ADRs!$B$2:$B$31,H2)&gt;0,1,0))</f>
        <v>0</v>
      </c>
      <c r="R2">
        <f>IF(P2=0,0,IF(N2&gt;0,2,0))</f>
        <v>0</v>
      </c>
      <c r="S2">
        <f>IF(P2=0,0,IF(K2="Yes",1,IF(K2="No",-1,0)))</f>
        <v>0</v>
      </c>
      <c r="T2">
        <f>IF(P2=0,0,IF(L2&lt;&gt;"None",-1,0))</f>
        <v>0</v>
      </c>
      <c r="U2" t="str">
        <f>IF(P2=0,"",Q2+R2+S2+T2)</f>
        <v/>
      </c>
      <c r="V2" t="str">
        <f>IF(P2=0,"",IF(U2&gt;=3,"Probable",IF(U2&gt;=1,"Possible","Unlikely")))</f>
        <v/>
      </c>
    </row>
    <row r="3" spans="1:22" x14ac:dyDescent="0.25">
      <c r="A3" s="2" t="s">
        <v>20</v>
      </c>
      <c r="B3" s="2">
        <v>22</v>
      </c>
      <c r="C3" s="2" t="s">
        <v>14</v>
      </c>
      <c r="D3" s="2" t="s">
        <v>21</v>
      </c>
      <c r="E3" s="2" t="s">
        <v>22</v>
      </c>
      <c r="F3" s="2">
        <v>1000</v>
      </c>
      <c r="G3" s="3">
        <v>45674</v>
      </c>
      <c r="H3" s="2" t="s">
        <v>17</v>
      </c>
      <c r="I3" s="3"/>
      <c r="J3" s="2" t="s">
        <v>17</v>
      </c>
      <c r="K3" s="2" t="s">
        <v>18</v>
      </c>
      <c r="L3" s="2" t="s">
        <v>17</v>
      </c>
      <c r="M3" s="2" t="s">
        <v>19</v>
      </c>
      <c r="N3" t="str">
        <f>IF(H3="None","",I3-G3)</f>
        <v/>
      </c>
      <c r="O3" t="str">
        <f>IF(B3&lt;18,"Under 18",IF(B3&lt;40,"18 to 39",IF(B3&lt;60,"40 to 59","60 and above")))</f>
        <v>18 to 39</v>
      </c>
      <c r="P3">
        <f>IF(H3="None",0,1)</f>
        <v>0</v>
      </c>
      <c r="Q3">
        <f>IF(P3=0,0,IF(COUNTIFS(Known_ADRs!$A$2:$A$31,D3,Known_ADRs!$B$2:$B$31,H3)&gt;0,1,0))</f>
        <v>0</v>
      </c>
      <c r="R3">
        <f>IF(P3=0,0,IF(N3&gt;0,2,0))</f>
        <v>0</v>
      </c>
      <c r="S3">
        <f>IF(P3=0,0,IF(K3="Yes",1,IF(K3="No",-1,0)))</f>
        <v>0</v>
      </c>
      <c r="T3">
        <f>IF(P3=0,0,IF(L3&lt;&gt;"None",-1,0))</f>
        <v>0</v>
      </c>
      <c r="U3" t="str">
        <f>IF(P3=0,"",Q3+R3+S3+T3)</f>
        <v/>
      </c>
      <c r="V3" t="str">
        <f>IF(P3=0,"",IF(U3&gt;=3,"Probable",IF(U3&gt;=1,"Possible","Unlikely")))</f>
        <v/>
      </c>
    </row>
    <row r="4" spans="1:22" x14ac:dyDescent="0.25">
      <c r="A4" s="2" t="s">
        <v>23</v>
      </c>
      <c r="B4" s="2">
        <v>74</v>
      </c>
      <c r="C4" s="2" t="s">
        <v>24</v>
      </c>
      <c r="D4" s="2" t="s">
        <v>15</v>
      </c>
      <c r="E4" s="2" t="s">
        <v>16</v>
      </c>
      <c r="F4" s="2">
        <v>20</v>
      </c>
      <c r="G4" s="3">
        <v>45763</v>
      </c>
      <c r="H4" s="2" t="s">
        <v>17</v>
      </c>
      <c r="I4" s="3"/>
      <c r="J4" s="2" t="s">
        <v>17</v>
      </c>
      <c r="K4" s="2" t="s">
        <v>18</v>
      </c>
      <c r="L4" s="2" t="s">
        <v>17</v>
      </c>
      <c r="M4" s="2" t="s">
        <v>19</v>
      </c>
      <c r="N4" t="str">
        <f>IF(H4="None","",I4-G4)</f>
        <v/>
      </c>
      <c r="O4" t="str">
        <f>IF(B4&lt;18,"Under 18",IF(B4&lt;40,"18 to 39",IF(B4&lt;60,"40 to 59","60 and above")))</f>
        <v>60 and above</v>
      </c>
      <c r="P4">
        <f>IF(H4="None",0,1)</f>
        <v>0</v>
      </c>
      <c r="Q4">
        <f>IF(P4=0,0,IF(COUNTIFS(Known_ADRs!$A$2:$A$31,D4,Known_ADRs!$B$2:$B$31,H4)&gt;0,1,0))</f>
        <v>0</v>
      </c>
      <c r="R4">
        <f>IF(P4=0,0,IF(N4&gt;0,2,0))</f>
        <v>0</v>
      </c>
      <c r="S4">
        <f>IF(P4=0,0,IF(K4="Yes",1,IF(K4="No",-1,0)))</f>
        <v>0</v>
      </c>
      <c r="T4">
        <f>IF(P4=0,0,IF(L4&lt;&gt;"None",-1,0))</f>
        <v>0</v>
      </c>
      <c r="U4" t="str">
        <f>IF(P4=0,"",Q4+R4+S4+T4)</f>
        <v/>
      </c>
      <c r="V4" t="str">
        <f>IF(P4=0,"",IF(U4&gt;=3,"Probable",IF(U4&gt;=1,"Possible","Unlikely")))</f>
        <v/>
      </c>
    </row>
    <row r="5" spans="1:22" x14ac:dyDescent="0.25">
      <c r="A5" s="2" t="s">
        <v>25</v>
      </c>
      <c r="B5" s="2">
        <v>53</v>
      </c>
      <c r="C5" s="2" t="s">
        <v>14</v>
      </c>
      <c r="D5" s="2" t="s">
        <v>26</v>
      </c>
      <c r="E5" s="2" t="s">
        <v>27</v>
      </c>
      <c r="F5" s="2">
        <v>5</v>
      </c>
      <c r="G5" s="3">
        <v>45811</v>
      </c>
      <c r="H5" s="2" t="s">
        <v>17</v>
      </c>
      <c r="I5" s="3"/>
      <c r="J5" s="2" t="s">
        <v>17</v>
      </c>
      <c r="K5" s="2" t="s">
        <v>18</v>
      </c>
      <c r="L5" s="2" t="s">
        <v>28</v>
      </c>
      <c r="M5" s="2" t="s">
        <v>19</v>
      </c>
      <c r="N5" t="str">
        <f>IF(H5="None","",I5-G5)</f>
        <v/>
      </c>
      <c r="O5" t="str">
        <f>IF(B5&lt;18,"Under 18",IF(B5&lt;40,"18 to 39",IF(B5&lt;60,"40 to 59","60 and above")))</f>
        <v>40 to 59</v>
      </c>
      <c r="P5">
        <f>IF(H5="None",0,1)</f>
        <v>0</v>
      </c>
      <c r="Q5">
        <f>IF(P5=0,0,IF(COUNTIFS(Known_ADRs!$A$2:$A$31,D5,Known_ADRs!$B$2:$B$31,H5)&gt;0,1,0))</f>
        <v>0</v>
      </c>
      <c r="R5">
        <f>IF(P5=0,0,IF(N5&gt;0,2,0))</f>
        <v>0</v>
      </c>
      <c r="S5">
        <f>IF(P5=0,0,IF(K5="Yes",1,IF(K5="No",-1,0)))</f>
        <v>0</v>
      </c>
      <c r="T5">
        <f>IF(P5=0,0,IF(L5&lt;&gt;"None",-1,0))</f>
        <v>0</v>
      </c>
      <c r="U5" t="str">
        <f>IF(P5=0,"",Q5+R5+S5+T5)</f>
        <v/>
      </c>
      <c r="V5" t="str">
        <f>IF(P5=0,"",IF(U5&gt;=3,"Probable",IF(U5&gt;=1,"Possible","Unlikely")))</f>
        <v/>
      </c>
    </row>
    <row r="6" spans="1:22" x14ac:dyDescent="0.25">
      <c r="A6" s="2" t="s">
        <v>37</v>
      </c>
      <c r="B6" s="2">
        <v>79</v>
      </c>
      <c r="C6" s="2" t="s">
        <v>14</v>
      </c>
      <c r="D6" s="2" t="s">
        <v>38</v>
      </c>
      <c r="E6" s="2" t="s">
        <v>39</v>
      </c>
      <c r="F6" s="2">
        <v>20</v>
      </c>
      <c r="G6" s="3">
        <v>45712</v>
      </c>
      <c r="H6" s="2" t="s">
        <v>17</v>
      </c>
      <c r="I6" s="3"/>
      <c r="J6" s="2" t="s">
        <v>17</v>
      </c>
      <c r="K6" s="2" t="s">
        <v>18</v>
      </c>
      <c r="L6" s="2" t="s">
        <v>28</v>
      </c>
      <c r="M6" s="2" t="s">
        <v>19</v>
      </c>
      <c r="N6" t="str">
        <f>IF(H6="None","",I6-G6)</f>
        <v/>
      </c>
      <c r="O6" t="str">
        <f>IF(B6&lt;18,"Under 18",IF(B6&lt;40,"18 to 39",IF(B6&lt;60,"40 to 59","60 and above")))</f>
        <v>60 and above</v>
      </c>
      <c r="P6">
        <f>IF(H6="None",0,1)</f>
        <v>0</v>
      </c>
      <c r="Q6">
        <f>IF(P6=0,0,IF(COUNTIFS(Known_ADRs!$A$2:$A$31,D6,Known_ADRs!$B$2:$B$31,H6)&gt;0,1,0))</f>
        <v>0</v>
      </c>
      <c r="R6">
        <f>IF(P6=0,0,IF(N6&gt;0,2,0))</f>
        <v>0</v>
      </c>
      <c r="S6">
        <f>IF(P6=0,0,IF(K6="Yes",1,IF(K6="No",-1,0)))</f>
        <v>0</v>
      </c>
      <c r="T6">
        <f>IF(P6=0,0,IF(L6&lt;&gt;"None",-1,0))</f>
        <v>0</v>
      </c>
      <c r="U6" t="str">
        <f>IF(P6=0,"",Q6+R6+S6+T6)</f>
        <v/>
      </c>
      <c r="V6" t="str">
        <f>IF(P6=0,"",IF(U6&gt;=3,"Probable",IF(U6&gt;=1,"Possible","Unlikely")))</f>
        <v/>
      </c>
    </row>
    <row r="7" spans="1:22" x14ac:dyDescent="0.25">
      <c r="A7" s="2" t="s">
        <v>40</v>
      </c>
      <c r="B7" s="2">
        <v>57</v>
      </c>
      <c r="C7" s="2" t="s">
        <v>24</v>
      </c>
      <c r="D7" s="2" t="s">
        <v>41</v>
      </c>
      <c r="E7" s="2" t="s">
        <v>42</v>
      </c>
      <c r="F7" s="2">
        <v>650</v>
      </c>
      <c r="G7" s="3">
        <v>45811</v>
      </c>
      <c r="H7" s="2" t="s">
        <v>17</v>
      </c>
      <c r="I7" s="3"/>
      <c r="J7" s="2" t="s">
        <v>17</v>
      </c>
      <c r="K7" s="2" t="s">
        <v>18</v>
      </c>
      <c r="L7" s="2" t="s">
        <v>17</v>
      </c>
      <c r="M7" s="2" t="s">
        <v>19</v>
      </c>
      <c r="N7" t="str">
        <f>IF(H7="None","",I7-G7)</f>
        <v/>
      </c>
      <c r="O7" t="str">
        <f>IF(B7&lt;18,"Under 18",IF(B7&lt;40,"18 to 39",IF(B7&lt;60,"40 to 59","60 and above")))</f>
        <v>40 to 59</v>
      </c>
      <c r="P7">
        <f>IF(H7="None",0,1)</f>
        <v>0</v>
      </c>
      <c r="Q7">
        <f>IF(P7=0,0,IF(COUNTIFS(Known_ADRs!$A$2:$A$31,D7,Known_ADRs!$B$2:$B$31,H7)&gt;0,1,0))</f>
        <v>0</v>
      </c>
      <c r="R7">
        <f>IF(P7=0,0,IF(N7&gt;0,2,0))</f>
        <v>0</v>
      </c>
      <c r="S7">
        <f>IF(P7=0,0,IF(K7="Yes",1,IF(K7="No",-1,0)))</f>
        <v>0</v>
      </c>
      <c r="T7">
        <f>IF(P7=0,0,IF(L7&lt;&gt;"None",-1,0))</f>
        <v>0</v>
      </c>
      <c r="U7" t="str">
        <f>IF(P7=0,"",Q7+R7+S7+T7)</f>
        <v/>
      </c>
      <c r="V7" t="str">
        <f>IF(P7=0,"",IF(U7&gt;=3,"Probable",IF(U7&gt;=1,"Possible","Unlikely")))</f>
        <v/>
      </c>
    </row>
    <row r="8" spans="1:22" x14ac:dyDescent="0.25">
      <c r="A8" s="2" t="s">
        <v>50</v>
      </c>
      <c r="B8" s="2">
        <v>41</v>
      </c>
      <c r="C8" s="2" t="s">
        <v>14</v>
      </c>
      <c r="D8" s="2" t="s">
        <v>26</v>
      </c>
      <c r="E8" s="2" t="s">
        <v>27</v>
      </c>
      <c r="F8" s="2">
        <v>5</v>
      </c>
      <c r="G8" s="3">
        <v>45839</v>
      </c>
      <c r="H8" s="2" t="s">
        <v>17</v>
      </c>
      <c r="I8" s="3"/>
      <c r="J8" s="2" t="s">
        <v>17</v>
      </c>
      <c r="K8" s="2" t="s">
        <v>18</v>
      </c>
      <c r="L8" s="2" t="s">
        <v>17</v>
      </c>
      <c r="M8" s="2" t="s">
        <v>19</v>
      </c>
      <c r="N8" t="str">
        <f>IF(H8="None","",I8-G8)</f>
        <v/>
      </c>
      <c r="O8" t="str">
        <f>IF(B8&lt;18,"Under 18",IF(B8&lt;40,"18 to 39",IF(B8&lt;60,"40 to 59","60 and above")))</f>
        <v>40 to 59</v>
      </c>
      <c r="P8">
        <f>IF(H8="None",0,1)</f>
        <v>0</v>
      </c>
      <c r="Q8">
        <f>IF(P8=0,0,IF(COUNTIFS(Known_ADRs!$A$2:$A$31,D8,Known_ADRs!$B$2:$B$31,H8)&gt;0,1,0))</f>
        <v>0</v>
      </c>
      <c r="R8">
        <f>IF(P8=0,0,IF(N8&gt;0,2,0))</f>
        <v>0</v>
      </c>
      <c r="S8">
        <f>IF(P8=0,0,IF(K8="Yes",1,IF(K8="No",-1,0)))</f>
        <v>0</v>
      </c>
      <c r="T8">
        <f>IF(P8=0,0,IF(L8&lt;&gt;"None",-1,0))</f>
        <v>0</v>
      </c>
      <c r="U8" t="str">
        <f>IF(P8=0,"",Q8+R8+S8+T8)</f>
        <v/>
      </c>
      <c r="V8" t="str">
        <f>IF(P8=0,"",IF(U8&gt;=3,"Probable",IF(U8&gt;=1,"Possible","Unlikely")))</f>
        <v/>
      </c>
    </row>
    <row r="9" spans="1:22" x14ac:dyDescent="0.25">
      <c r="A9" s="2" t="s">
        <v>51</v>
      </c>
      <c r="B9" s="2">
        <v>57</v>
      </c>
      <c r="C9" s="2" t="s">
        <v>14</v>
      </c>
      <c r="D9" s="2" t="s">
        <v>41</v>
      </c>
      <c r="E9" s="2" t="s">
        <v>42</v>
      </c>
      <c r="F9" s="2">
        <v>650</v>
      </c>
      <c r="G9" s="3">
        <v>45816</v>
      </c>
      <c r="H9" s="2" t="s">
        <v>17</v>
      </c>
      <c r="I9" s="3"/>
      <c r="J9" s="2" t="s">
        <v>17</v>
      </c>
      <c r="K9" s="2" t="s">
        <v>18</v>
      </c>
      <c r="L9" s="2" t="s">
        <v>17</v>
      </c>
      <c r="M9" s="2" t="s">
        <v>19</v>
      </c>
      <c r="N9" t="str">
        <f>IF(H9="None","",I9-G9)</f>
        <v/>
      </c>
      <c r="O9" t="str">
        <f>IF(B9&lt;18,"Under 18",IF(B9&lt;40,"18 to 39",IF(B9&lt;60,"40 to 59","60 and above")))</f>
        <v>40 to 59</v>
      </c>
      <c r="P9">
        <f>IF(H9="None",0,1)</f>
        <v>0</v>
      </c>
      <c r="Q9">
        <f>IF(P9=0,0,IF(COUNTIFS(Known_ADRs!$A$2:$A$31,D9,Known_ADRs!$B$2:$B$31,H9)&gt;0,1,0))</f>
        <v>0</v>
      </c>
      <c r="R9">
        <f>IF(P9=0,0,IF(N9&gt;0,2,0))</f>
        <v>0</v>
      </c>
      <c r="S9">
        <f>IF(P9=0,0,IF(K9="Yes",1,IF(K9="No",-1,0)))</f>
        <v>0</v>
      </c>
      <c r="T9">
        <f>IF(P9=0,0,IF(L9&lt;&gt;"None",-1,0))</f>
        <v>0</v>
      </c>
      <c r="U9" t="str">
        <f>IF(P9=0,"",Q9+R9+S9+T9)</f>
        <v/>
      </c>
      <c r="V9" t="str">
        <f>IF(P9=0,"",IF(U9&gt;=3,"Probable",IF(U9&gt;=1,"Possible","Unlikely")))</f>
        <v/>
      </c>
    </row>
    <row r="10" spans="1:22" x14ac:dyDescent="0.25">
      <c r="A10" s="2" t="s">
        <v>52</v>
      </c>
      <c r="B10" s="2">
        <v>67</v>
      </c>
      <c r="C10" s="2" t="s">
        <v>24</v>
      </c>
      <c r="D10" s="2" t="s">
        <v>41</v>
      </c>
      <c r="E10" s="2" t="s">
        <v>42</v>
      </c>
      <c r="F10" s="2">
        <v>650</v>
      </c>
      <c r="G10" s="3">
        <v>45809</v>
      </c>
      <c r="H10" s="2" t="s">
        <v>17</v>
      </c>
      <c r="I10" s="3"/>
      <c r="J10" s="2" t="s">
        <v>17</v>
      </c>
      <c r="K10" s="2" t="s">
        <v>18</v>
      </c>
      <c r="L10" s="2" t="s">
        <v>53</v>
      </c>
      <c r="M10" s="2" t="s">
        <v>19</v>
      </c>
      <c r="N10" t="str">
        <f>IF(H10="None","",I10-G10)</f>
        <v/>
      </c>
      <c r="O10" t="str">
        <f>IF(B10&lt;18,"Under 18",IF(B10&lt;40,"18 to 39",IF(B10&lt;60,"40 to 59","60 and above")))</f>
        <v>60 and above</v>
      </c>
      <c r="P10">
        <f>IF(H10="None",0,1)</f>
        <v>0</v>
      </c>
      <c r="Q10">
        <f>IF(P10=0,0,IF(COUNTIFS(Known_ADRs!$A$2:$A$31,D10,Known_ADRs!$B$2:$B$31,H10)&gt;0,1,0))</f>
        <v>0</v>
      </c>
      <c r="R10">
        <f>IF(P10=0,0,IF(N10&gt;0,2,0))</f>
        <v>0</v>
      </c>
      <c r="S10">
        <f>IF(P10=0,0,IF(K10="Yes",1,IF(K10="No",-1,0)))</f>
        <v>0</v>
      </c>
      <c r="T10">
        <f>IF(P10=0,0,IF(L10&lt;&gt;"None",-1,0))</f>
        <v>0</v>
      </c>
      <c r="U10" t="str">
        <f>IF(P10=0,"",Q10+R10+S10+T10)</f>
        <v/>
      </c>
      <c r="V10" t="str">
        <f>IF(P10=0,"",IF(U10&gt;=3,"Probable",IF(U10&gt;=1,"Possible","Unlikely")))</f>
        <v/>
      </c>
    </row>
    <row r="11" spans="1:22" x14ac:dyDescent="0.25">
      <c r="A11" s="2" t="s">
        <v>54</v>
      </c>
      <c r="B11" s="2">
        <v>63</v>
      </c>
      <c r="C11" s="2" t="s">
        <v>14</v>
      </c>
      <c r="D11" s="2" t="s">
        <v>44</v>
      </c>
      <c r="E11" s="2" t="s">
        <v>45</v>
      </c>
      <c r="F11" s="2">
        <v>100</v>
      </c>
      <c r="G11" s="3">
        <v>45808</v>
      </c>
      <c r="H11" s="2" t="s">
        <v>17</v>
      </c>
      <c r="I11" s="3"/>
      <c r="J11" s="2" t="s">
        <v>17</v>
      </c>
      <c r="K11" s="2" t="s">
        <v>18</v>
      </c>
      <c r="L11" s="2" t="s">
        <v>28</v>
      </c>
      <c r="M11" s="2" t="s">
        <v>19</v>
      </c>
      <c r="N11" t="str">
        <f>IF(H11="None","",I11-G11)</f>
        <v/>
      </c>
      <c r="O11" t="str">
        <f>IF(B11&lt;18,"Under 18",IF(B11&lt;40,"18 to 39",IF(B11&lt;60,"40 to 59","60 and above")))</f>
        <v>60 and above</v>
      </c>
      <c r="P11">
        <f>IF(H11="None",0,1)</f>
        <v>0</v>
      </c>
      <c r="Q11">
        <f>IF(P11=0,0,IF(COUNTIFS(Known_ADRs!$A$2:$A$31,D11,Known_ADRs!$B$2:$B$31,H11)&gt;0,1,0))</f>
        <v>0</v>
      </c>
      <c r="R11">
        <f>IF(P11=0,0,IF(N11&gt;0,2,0))</f>
        <v>0</v>
      </c>
      <c r="S11">
        <f>IF(P11=0,0,IF(K11="Yes",1,IF(K11="No",-1,0)))</f>
        <v>0</v>
      </c>
      <c r="T11">
        <f>IF(P11=0,0,IF(L11&lt;&gt;"None",-1,0))</f>
        <v>0</v>
      </c>
      <c r="U11" t="str">
        <f>IF(P11=0,"",Q11+R11+S11+T11)</f>
        <v/>
      </c>
      <c r="V11" t="str">
        <f>IF(P11=0,"",IF(U11&gt;=3,"Probable",IF(U11&gt;=1,"Possible","Unlikely")))</f>
        <v/>
      </c>
    </row>
    <row r="12" spans="1:22" x14ac:dyDescent="0.25">
      <c r="A12" s="2" t="s">
        <v>61</v>
      </c>
      <c r="B12" s="2">
        <v>20</v>
      </c>
      <c r="C12" s="2" t="s">
        <v>24</v>
      </c>
      <c r="D12" s="2" t="s">
        <v>26</v>
      </c>
      <c r="E12" s="2" t="s">
        <v>27</v>
      </c>
      <c r="F12" s="2">
        <v>5</v>
      </c>
      <c r="G12" s="3">
        <v>45678</v>
      </c>
      <c r="H12" s="2" t="s">
        <v>17</v>
      </c>
      <c r="I12" s="3"/>
      <c r="J12" s="2" t="s">
        <v>17</v>
      </c>
      <c r="K12" s="2" t="s">
        <v>18</v>
      </c>
      <c r="L12" s="2" t="s">
        <v>17</v>
      </c>
      <c r="M12" s="2" t="s">
        <v>19</v>
      </c>
      <c r="N12" t="str">
        <f>IF(H12="None","",I12-G12)</f>
        <v/>
      </c>
      <c r="O12" t="str">
        <f>IF(B12&lt;18,"Under 18",IF(B12&lt;40,"18 to 39",IF(B12&lt;60,"40 to 59","60 and above")))</f>
        <v>18 to 39</v>
      </c>
      <c r="P12">
        <f>IF(H12="None",0,1)</f>
        <v>0</v>
      </c>
      <c r="Q12">
        <f>IF(P12=0,0,IF(COUNTIFS(Known_ADRs!$A$2:$A$31,D12,Known_ADRs!$B$2:$B$31,H12)&gt;0,1,0))</f>
        <v>0</v>
      </c>
      <c r="R12">
        <f>IF(P12=0,0,IF(N12&gt;0,2,0))</f>
        <v>0</v>
      </c>
      <c r="S12">
        <f>IF(P12=0,0,IF(K12="Yes",1,IF(K12="No",-1,0)))</f>
        <v>0</v>
      </c>
      <c r="T12">
        <f>IF(P12=0,0,IF(L12&lt;&gt;"None",-1,0))</f>
        <v>0</v>
      </c>
      <c r="U12" t="str">
        <f>IF(P12=0,"",Q12+R12+S12+T12)</f>
        <v/>
      </c>
      <c r="V12" t="str">
        <f>IF(P12=0,"",IF(U12&gt;=3,"Probable",IF(U12&gt;=1,"Possible","Unlikely")))</f>
        <v/>
      </c>
    </row>
    <row r="13" spans="1:22" x14ac:dyDescent="0.25">
      <c r="A13" s="2" t="s">
        <v>67</v>
      </c>
      <c r="B13" s="2">
        <v>46</v>
      </c>
      <c r="C13" s="2" t="s">
        <v>14</v>
      </c>
      <c r="D13" s="2" t="s">
        <v>56</v>
      </c>
      <c r="E13" s="2" t="s">
        <v>57</v>
      </c>
      <c r="F13" s="2">
        <v>500</v>
      </c>
      <c r="G13" s="3">
        <v>45726</v>
      </c>
      <c r="H13" s="2" t="s">
        <v>17</v>
      </c>
      <c r="I13" s="3"/>
      <c r="J13" s="2" t="s">
        <v>17</v>
      </c>
      <c r="K13" s="2" t="s">
        <v>18</v>
      </c>
      <c r="L13" s="2" t="s">
        <v>35</v>
      </c>
      <c r="M13" s="2" t="s">
        <v>19</v>
      </c>
      <c r="N13" t="str">
        <f>IF(H13="None","",I13-G13)</f>
        <v/>
      </c>
      <c r="O13" t="str">
        <f>IF(B13&lt;18,"Under 18",IF(B13&lt;40,"18 to 39",IF(B13&lt;60,"40 to 59","60 and above")))</f>
        <v>40 to 59</v>
      </c>
      <c r="P13">
        <f>IF(H13="None",0,1)</f>
        <v>0</v>
      </c>
      <c r="Q13">
        <f>IF(P13=0,0,IF(COUNTIFS(Known_ADRs!$A$2:$A$31,D13,Known_ADRs!$B$2:$B$31,H13)&gt;0,1,0))</f>
        <v>0</v>
      </c>
      <c r="R13">
        <f>IF(P13=0,0,IF(N13&gt;0,2,0))</f>
        <v>0</v>
      </c>
      <c r="S13">
        <f>IF(P13=0,0,IF(K13="Yes",1,IF(K13="No",-1,0)))</f>
        <v>0</v>
      </c>
      <c r="T13">
        <f>IF(P13=0,0,IF(L13&lt;&gt;"None",-1,0))</f>
        <v>0</v>
      </c>
      <c r="U13" t="str">
        <f>IF(P13=0,"",Q13+R13+S13+T13)</f>
        <v/>
      </c>
      <c r="V13" t="str">
        <f>IF(P13=0,"",IF(U13&gt;=3,"Probable",IF(U13&gt;=1,"Possible","Unlikely")))</f>
        <v/>
      </c>
    </row>
    <row r="14" spans="1:22" x14ac:dyDescent="0.25">
      <c r="A14" s="2" t="s">
        <v>79</v>
      </c>
      <c r="B14" s="2">
        <v>25</v>
      </c>
      <c r="C14" s="2" t="s">
        <v>14</v>
      </c>
      <c r="D14" s="2" t="s">
        <v>38</v>
      </c>
      <c r="E14" s="2" t="s">
        <v>39</v>
      </c>
      <c r="F14" s="2">
        <v>20</v>
      </c>
      <c r="G14" s="3">
        <v>45693</v>
      </c>
      <c r="H14" s="2" t="s">
        <v>17</v>
      </c>
      <c r="I14" s="3"/>
      <c r="J14" s="2" t="s">
        <v>17</v>
      </c>
      <c r="K14" s="2" t="s">
        <v>18</v>
      </c>
      <c r="L14" s="2" t="s">
        <v>35</v>
      </c>
      <c r="M14" s="2" t="s">
        <v>19</v>
      </c>
      <c r="N14" t="str">
        <f>IF(H14="None","",I14-G14)</f>
        <v/>
      </c>
      <c r="O14" t="str">
        <f>IF(B14&lt;18,"Under 18",IF(B14&lt;40,"18 to 39",IF(B14&lt;60,"40 to 59","60 and above")))</f>
        <v>18 to 39</v>
      </c>
      <c r="P14">
        <f>IF(H14="None",0,1)</f>
        <v>0</v>
      </c>
      <c r="Q14">
        <f>IF(P14=0,0,IF(COUNTIFS(Known_ADRs!$A$2:$A$31,D14,Known_ADRs!$B$2:$B$31,H14)&gt;0,1,0))</f>
        <v>0</v>
      </c>
      <c r="R14">
        <f>IF(P14=0,0,IF(N14&gt;0,2,0))</f>
        <v>0</v>
      </c>
      <c r="S14">
        <f>IF(P14=0,0,IF(K14="Yes",1,IF(K14="No",-1,0)))</f>
        <v>0</v>
      </c>
      <c r="T14">
        <f>IF(P14=0,0,IF(L14&lt;&gt;"None",-1,0))</f>
        <v>0</v>
      </c>
      <c r="U14" t="str">
        <f>IF(P14=0,"",Q14+R14+S14+T14)</f>
        <v/>
      </c>
      <c r="V14" t="str">
        <f>IF(P14=0,"",IF(U14&gt;=3,"Probable",IF(U14&gt;=1,"Possible","Unlikely")))</f>
        <v/>
      </c>
    </row>
    <row r="15" spans="1:22" x14ac:dyDescent="0.25">
      <c r="A15" s="2" t="s">
        <v>80</v>
      </c>
      <c r="B15" s="2">
        <v>67</v>
      </c>
      <c r="C15" s="2" t="s">
        <v>14</v>
      </c>
      <c r="D15" s="2" t="s">
        <v>21</v>
      </c>
      <c r="E15" s="2" t="s">
        <v>22</v>
      </c>
      <c r="F15" s="2">
        <v>1000</v>
      </c>
      <c r="G15" s="3">
        <v>45707</v>
      </c>
      <c r="H15" s="2" t="s">
        <v>17</v>
      </c>
      <c r="I15" s="3"/>
      <c r="J15" s="2" t="s">
        <v>17</v>
      </c>
      <c r="K15" s="2" t="s">
        <v>18</v>
      </c>
      <c r="L15" s="2" t="s">
        <v>17</v>
      </c>
      <c r="M15" s="2" t="s">
        <v>19</v>
      </c>
      <c r="N15" t="str">
        <f>IF(H15="None","",I15-G15)</f>
        <v/>
      </c>
      <c r="O15" t="str">
        <f>IF(B15&lt;18,"Under 18",IF(B15&lt;40,"18 to 39",IF(B15&lt;60,"40 to 59","60 and above")))</f>
        <v>60 and above</v>
      </c>
      <c r="P15">
        <f>IF(H15="None",0,1)</f>
        <v>0</v>
      </c>
      <c r="Q15">
        <f>IF(P15=0,0,IF(COUNTIFS(Known_ADRs!$A$2:$A$31,D15,Known_ADRs!$B$2:$B$31,H15)&gt;0,1,0))</f>
        <v>0</v>
      </c>
      <c r="R15">
        <f>IF(P15=0,0,IF(N15&gt;0,2,0))</f>
        <v>0</v>
      </c>
      <c r="S15">
        <f>IF(P15=0,0,IF(K15="Yes",1,IF(K15="No",-1,0)))</f>
        <v>0</v>
      </c>
      <c r="T15">
        <f>IF(P15=0,0,IF(L15&lt;&gt;"None",-1,0))</f>
        <v>0</v>
      </c>
      <c r="U15" t="str">
        <f>IF(P15=0,"",Q15+R15+S15+T15)</f>
        <v/>
      </c>
      <c r="V15" t="str">
        <f>IF(P15=0,"",IF(U15&gt;=3,"Probable",IF(U15&gt;=1,"Possible","Unlikely")))</f>
        <v/>
      </c>
    </row>
    <row r="16" spans="1:22" x14ac:dyDescent="0.25">
      <c r="A16" s="2" t="s">
        <v>81</v>
      </c>
      <c r="B16" s="2">
        <v>34</v>
      </c>
      <c r="C16" s="2" t="s">
        <v>14</v>
      </c>
      <c r="D16" s="2" t="s">
        <v>26</v>
      </c>
      <c r="E16" s="2" t="s">
        <v>27</v>
      </c>
      <c r="F16" s="2">
        <v>5</v>
      </c>
      <c r="G16" s="3">
        <v>45733</v>
      </c>
      <c r="H16" s="2" t="s">
        <v>17</v>
      </c>
      <c r="I16" s="3"/>
      <c r="J16" s="2" t="s">
        <v>17</v>
      </c>
      <c r="K16" s="2" t="s">
        <v>18</v>
      </c>
      <c r="L16" s="2" t="s">
        <v>17</v>
      </c>
      <c r="M16" s="2" t="s">
        <v>19</v>
      </c>
      <c r="N16" t="str">
        <f>IF(H16="None","",I16-G16)</f>
        <v/>
      </c>
      <c r="O16" t="str">
        <f>IF(B16&lt;18,"Under 18",IF(B16&lt;40,"18 to 39",IF(B16&lt;60,"40 to 59","60 and above")))</f>
        <v>18 to 39</v>
      </c>
      <c r="P16">
        <f>IF(H16="None",0,1)</f>
        <v>0</v>
      </c>
      <c r="Q16">
        <f>IF(P16=0,0,IF(COUNTIFS(Known_ADRs!$A$2:$A$31,D16,Known_ADRs!$B$2:$B$31,H16)&gt;0,1,0))</f>
        <v>0</v>
      </c>
      <c r="R16">
        <f>IF(P16=0,0,IF(N16&gt;0,2,0))</f>
        <v>0</v>
      </c>
      <c r="S16">
        <f>IF(P16=0,0,IF(K16="Yes",1,IF(K16="No",-1,0)))</f>
        <v>0</v>
      </c>
      <c r="T16">
        <f>IF(P16=0,0,IF(L16&lt;&gt;"None",-1,0))</f>
        <v>0</v>
      </c>
      <c r="U16" t="str">
        <f>IF(P16=0,"",Q16+R16+S16+T16)</f>
        <v/>
      </c>
      <c r="V16" t="str">
        <f>IF(P16=0,"",IF(U16&gt;=3,"Probable",IF(U16&gt;=1,"Possible","Unlikely")))</f>
        <v/>
      </c>
    </row>
    <row r="17" spans="1:22" x14ac:dyDescent="0.25">
      <c r="A17" s="2" t="s">
        <v>82</v>
      </c>
      <c r="B17" s="2">
        <v>40</v>
      </c>
      <c r="C17" s="2" t="s">
        <v>24</v>
      </c>
      <c r="D17" s="2" t="s">
        <v>71</v>
      </c>
      <c r="E17" s="2" t="s">
        <v>72</v>
      </c>
      <c r="F17" s="2">
        <v>5</v>
      </c>
      <c r="G17" s="3">
        <v>45693</v>
      </c>
      <c r="H17" s="2" t="s">
        <v>17</v>
      </c>
      <c r="I17" s="3"/>
      <c r="J17" s="2" t="s">
        <v>17</v>
      </c>
      <c r="K17" s="2" t="s">
        <v>18</v>
      </c>
      <c r="L17" s="2" t="s">
        <v>53</v>
      </c>
      <c r="M17" s="2" t="s">
        <v>19</v>
      </c>
      <c r="N17" t="str">
        <f>IF(H17="None","",I17-G17)</f>
        <v/>
      </c>
      <c r="O17" t="str">
        <f>IF(B17&lt;18,"Under 18",IF(B17&lt;40,"18 to 39",IF(B17&lt;60,"40 to 59","60 and above")))</f>
        <v>40 to 59</v>
      </c>
      <c r="P17">
        <f>IF(H17="None",0,1)</f>
        <v>0</v>
      </c>
      <c r="Q17">
        <f>IF(P17=0,0,IF(COUNTIFS(Known_ADRs!$A$2:$A$31,D17,Known_ADRs!$B$2:$B$31,H17)&gt;0,1,0))</f>
        <v>0</v>
      </c>
      <c r="R17">
        <f>IF(P17=0,0,IF(N17&gt;0,2,0))</f>
        <v>0</v>
      </c>
      <c r="S17">
        <f>IF(P17=0,0,IF(K17="Yes",1,IF(K17="No",-1,0)))</f>
        <v>0</v>
      </c>
      <c r="T17">
        <f>IF(P17=0,0,IF(L17&lt;&gt;"None",-1,0))</f>
        <v>0</v>
      </c>
      <c r="U17" t="str">
        <f>IF(P17=0,"",Q17+R17+S17+T17)</f>
        <v/>
      </c>
      <c r="V17" t="str">
        <f>IF(P17=0,"",IF(U17&gt;=3,"Probable",IF(U17&gt;=1,"Possible","Unlikely")))</f>
        <v/>
      </c>
    </row>
    <row r="18" spans="1:22" x14ac:dyDescent="0.25">
      <c r="A18" s="2" t="s">
        <v>83</v>
      </c>
      <c r="B18" s="2">
        <v>18</v>
      </c>
      <c r="C18" s="2" t="s">
        <v>24</v>
      </c>
      <c r="D18" s="2" t="s">
        <v>15</v>
      </c>
      <c r="E18" s="2" t="s">
        <v>16</v>
      </c>
      <c r="F18" s="2">
        <v>20</v>
      </c>
      <c r="G18" s="3">
        <v>45865</v>
      </c>
      <c r="H18" s="2" t="s">
        <v>17</v>
      </c>
      <c r="I18" s="3"/>
      <c r="J18" s="2" t="s">
        <v>17</v>
      </c>
      <c r="K18" s="2" t="s">
        <v>18</v>
      </c>
      <c r="L18" s="2" t="s">
        <v>17</v>
      </c>
      <c r="M18" s="2" t="s">
        <v>19</v>
      </c>
      <c r="N18" t="str">
        <f>IF(H18="None","",I18-G18)</f>
        <v/>
      </c>
      <c r="O18" t="str">
        <f>IF(B18&lt;18,"Under 18",IF(B18&lt;40,"18 to 39",IF(B18&lt;60,"40 to 59","60 and above")))</f>
        <v>18 to 39</v>
      </c>
      <c r="P18">
        <f>IF(H18="None",0,1)</f>
        <v>0</v>
      </c>
      <c r="Q18">
        <f>IF(P18=0,0,IF(COUNTIFS(Known_ADRs!$A$2:$A$31,D18,Known_ADRs!$B$2:$B$31,H18)&gt;0,1,0))</f>
        <v>0</v>
      </c>
      <c r="R18">
        <f>IF(P18=0,0,IF(N18&gt;0,2,0))</f>
        <v>0</v>
      </c>
      <c r="S18">
        <f>IF(P18=0,0,IF(K18="Yes",1,IF(K18="No",-1,0)))</f>
        <v>0</v>
      </c>
      <c r="T18">
        <f>IF(P18=0,0,IF(L18&lt;&gt;"None",-1,0))</f>
        <v>0</v>
      </c>
      <c r="U18" t="str">
        <f>IF(P18=0,"",Q18+R18+S18+T18)</f>
        <v/>
      </c>
      <c r="V18" t="str">
        <f>IF(P18=0,"",IF(U18&gt;=3,"Probable",IF(U18&gt;=1,"Possible","Unlikely")))</f>
        <v/>
      </c>
    </row>
    <row r="19" spans="1:22" x14ac:dyDescent="0.25">
      <c r="A19" s="2" t="s">
        <v>84</v>
      </c>
      <c r="B19" s="2">
        <v>42</v>
      </c>
      <c r="C19" s="2" t="s">
        <v>24</v>
      </c>
      <c r="D19" s="2" t="s">
        <v>41</v>
      </c>
      <c r="E19" s="2" t="s">
        <v>42</v>
      </c>
      <c r="F19" s="2">
        <v>650</v>
      </c>
      <c r="G19" s="3">
        <v>45701</v>
      </c>
      <c r="H19" s="2" t="s">
        <v>17</v>
      </c>
      <c r="I19" s="3"/>
      <c r="J19" s="2" t="s">
        <v>17</v>
      </c>
      <c r="K19" s="2" t="s">
        <v>18</v>
      </c>
      <c r="L19" s="2" t="s">
        <v>17</v>
      </c>
      <c r="M19" s="2" t="s">
        <v>19</v>
      </c>
      <c r="N19" t="str">
        <f>IF(H19="None","",I19-G19)</f>
        <v/>
      </c>
      <c r="O19" t="str">
        <f>IF(B19&lt;18,"Under 18",IF(B19&lt;40,"18 to 39",IF(B19&lt;60,"40 to 59","60 and above")))</f>
        <v>40 to 59</v>
      </c>
      <c r="P19">
        <f>IF(H19="None",0,1)</f>
        <v>0</v>
      </c>
      <c r="Q19">
        <f>IF(P19=0,0,IF(COUNTIFS(Known_ADRs!$A$2:$A$31,D19,Known_ADRs!$B$2:$B$31,H19)&gt;0,1,0))</f>
        <v>0</v>
      </c>
      <c r="R19">
        <f>IF(P19=0,0,IF(N19&gt;0,2,0))</f>
        <v>0</v>
      </c>
      <c r="S19">
        <f>IF(P19=0,0,IF(K19="Yes",1,IF(K19="No",-1,0)))</f>
        <v>0</v>
      </c>
      <c r="T19">
        <f>IF(P19=0,0,IF(L19&lt;&gt;"None",-1,0))</f>
        <v>0</v>
      </c>
      <c r="U19" t="str">
        <f>IF(P19=0,"",Q19+R19+S19+T19)</f>
        <v/>
      </c>
      <c r="V19" t="str">
        <f>IF(P19=0,"",IF(U19&gt;=3,"Probable",IF(U19&gt;=1,"Possible","Unlikely")))</f>
        <v/>
      </c>
    </row>
    <row r="20" spans="1:22" x14ac:dyDescent="0.25">
      <c r="A20" s="2" t="s">
        <v>85</v>
      </c>
      <c r="B20" s="2">
        <v>21</v>
      </c>
      <c r="C20" s="2" t="s">
        <v>14</v>
      </c>
      <c r="D20" s="2" t="s">
        <v>21</v>
      </c>
      <c r="E20" s="2" t="s">
        <v>22</v>
      </c>
      <c r="F20" s="2">
        <v>1000</v>
      </c>
      <c r="G20" s="3">
        <v>45864</v>
      </c>
      <c r="H20" s="2" t="s">
        <v>17</v>
      </c>
      <c r="I20" s="3"/>
      <c r="J20" s="2" t="s">
        <v>17</v>
      </c>
      <c r="K20" s="2" t="s">
        <v>18</v>
      </c>
      <c r="L20" s="2" t="s">
        <v>17</v>
      </c>
      <c r="M20" s="2" t="s">
        <v>19</v>
      </c>
      <c r="N20" t="str">
        <f>IF(H20="None","",I20-G20)</f>
        <v/>
      </c>
      <c r="O20" t="str">
        <f>IF(B20&lt;18,"Under 18",IF(B20&lt;40,"18 to 39",IF(B20&lt;60,"40 to 59","60 and above")))</f>
        <v>18 to 39</v>
      </c>
      <c r="P20">
        <f>IF(H20="None",0,1)</f>
        <v>0</v>
      </c>
      <c r="Q20">
        <f>IF(P20=0,0,IF(COUNTIFS(Known_ADRs!$A$2:$A$31,D20,Known_ADRs!$B$2:$B$31,H20)&gt;0,1,0))</f>
        <v>0</v>
      </c>
      <c r="R20">
        <f>IF(P20=0,0,IF(N20&gt;0,2,0))</f>
        <v>0</v>
      </c>
      <c r="S20">
        <f>IF(P20=0,0,IF(K20="Yes",1,IF(K20="No",-1,0)))</f>
        <v>0</v>
      </c>
      <c r="T20">
        <f>IF(P20=0,0,IF(L20&lt;&gt;"None",-1,0))</f>
        <v>0</v>
      </c>
      <c r="U20" t="str">
        <f>IF(P20=0,"",Q20+R20+S20+T20)</f>
        <v/>
      </c>
      <c r="V20" t="str">
        <f>IF(P20=0,"",IF(U20&gt;=3,"Probable",IF(U20&gt;=1,"Possible","Unlikely")))</f>
        <v/>
      </c>
    </row>
    <row r="21" spans="1:22" x14ac:dyDescent="0.25">
      <c r="A21" s="2" t="s">
        <v>90</v>
      </c>
      <c r="B21" s="2">
        <v>53</v>
      </c>
      <c r="C21" s="2" t="s">
        <v>14</v>
      </c>
      <c r="D21" s="2" t="s">
        <v>38</v>
      </c>
      <c r="E21" s="2" t="s">
        <v>39</v>
      </c>
      <c r="F21" s="2">
        <v>20</v>
      </c>
      <c r="G21" s="3">
        <v>45849</v>
      </c>
      <c r="H21" s="2" t="s">
        <v>17</v>
      </c>
      <c r="I21" s="3"/>
      <c r="J21" s="2" t="s">
        <v>17</v>
      </c>
      <c r="K21" s="2" t="s">
        <v>18</v>
      </c>
      <c r="L21" s="2" t="s">
        <v>17</v>
      </c>
      <c r="M21" s="2" t="s">
        <v>19</v>
      </c>
      <c r="N21" t="str">
        <f>IF(H21="None","",I21-G21)</f>
        <v/>
      </c>
      <c r="O21" t="str">
        <f>IF(B21&lt;18,"Under 18",IF(B21&lt;40,"18 to 39",IF(B21&lt;60,"40 to 59","60 and above")))</f>
        <v>40 to 59</v>
      </c>
      <c r="P21">
        <f>IF(H21="None",0,1)</f>
        <v>0</v>
      </c>
      <c r="Q21">
        <f>IF(P21=0,0,IF(COUNTIFS(Known_ADRs!$A$2:$A$31,D21,Known_ADRs!$B$2:$B$31,H21)&gt;0,1,0))</f>
        <v>0</v>
      </c>
      <c r="R21">
        <f>IF(P21=0,0,IF(N21&gt;0,2,0))</f>
        <v>0</v>
      </c>
      <c r="S21">
        <f>IF(P21=0,0,IF(K21="Yes",1,IF(K21="No",-1,0)))</f>
        <v>0</v>
      </c>
      <c r="T21">
        <f>IF(P21=0,0,IF(L21&lt;&gt;"None",-1,0))</f>
        <v>0</v>
      </c>
      <c r="U21" t="str">
        <f>IF(P21=0,"",Q21+R21+S21+T21)</f>
        <v/>
      </c>
      <c r="V21" t="str">
        <f>IF(P21=0,"",IF(U21&gt;=3,"Probable",IF(U21&gt;=1,"Possible","Unlikely")))</f>
        <v/>
      </c>
    </row>
    <row r="22" spans="1:22" x14ac:dyDescent="0.25">
      <c r="A22" s="2" t="s">
        <v>91</v>
      </c>
      <c r="B22" s="2">
        <v>22</v>
      </c>
      <c r="C22" s="2" t="s">
        <v>14</v>
      </c>
      <c r="D22" s="2" t="s">
        <v>30</v>
      </c>
      <c r="E22" s="2" t="s">
        <v>31</v>
      </c>
      <c r="F22" s="2">
        <v>10</v>
      </c>
      <c r="G22" s="3">
        <v>45915</v>
      </c>
      <c r="H22" s="2" t="s">
        <v>17</v>
      </c>
      <c r="I22" s="3"/>
      <c r="J22" s="2" t="s">
        <v>17</v>
      </c>
      <c r="K22" s="2" t="s">
        <v>18</v>
      </c>
      <c r="L22" s="2" t="s">
        <v>35</v>
      </c>
      <c r="M22" s="2" t="s">
        <v>19</v>
      </c>
      <c r="N22" t="str">
        <f>IF(H22="None","",I22-G22)</f>
        <v/>
      </c>
      <c r="O22" t="str">
        <f>IF(B22&lt;18,"Under 18",IF(B22&lt;40,"18 to 39",IF(B22&lt;60,"40 to 59","60 and above")))</f>
        <v>18 to 39</v>
      </c>
      <c r="P22">
        <f>IF(H22="None",0,1)</f>
        <v>0</v>
      </c>
      <c r="Q22">
        <f>IF(P22=0,0,IF(COUNTIFS(Known_ADRs!$A$2:$A$31,D22,Known_ADRs!$B$2:$B$31,H22)&gt;0,1,0))</f>
        <v>0</v>
      </c>
      <c r="R22">
        <f>IF(P22=0,0,IF(N22&gt;0,2,0))</f>
        <v>0</v>
      </c>
      <c r="S22">
        <f>IF(P22=0,0,IF(K22="Yes",1,IF(K22="No",-1,0)))</f>
        <v>0</v>
      </c>
      <c r="T22">
        <f>IF(P22=0,0,IF(L22&lt;&gt;"None",-1,0))</f>
        <v>0</v>
      </c>
      <c r="U22" t="str">
        <f>IF(P22=0,"",Q22+R22+S22+T22)</f>
        <v/>
      </c>
      <c r="V22" t="str">
        <f>IF(P22=0,"",IF(U22&gt;=3,"Probable",IF(U22&gt;=1,"Possible","Unlikely")))</f>
        <v/>
      </c>
    </row>
    <row r="23" spans="1:22" x14ac:dyDescent="0.25">
      <c r="A23" s="2" t="s">
        <v>93</v>
      </c>
      <c r="B23" s="2">
        <v>40</v>
      </c>
      <c r="C23" s="2" t="s">
        <v>14</v>
      </c>
      <c r="D23" s="2" t="s">
        <v>41</v>
      </c>
      <c r="E23" s="2" t="s">
        <v>42</v>
      </c>
      <c r="F23" s="2">
        <v>650</v>
      </c>
      <c r="G23" s="3">
        <v>45681</v>
      </c>
      <c r="H23" s="2" t="s">
        <v>17</v>
      </c>
      <c r="I23" s="3"/>
      <c r="J23" s="2" t="s">
        <v>17</v>
      </c>
      <c r="K23" s="2" t="s">
        <v>18</v>
      </c>
      <c r="L23" s="2" t="s">
        <v>17</v>
      </c>
      <c r="M23" s="2" t="s">
        <v>19</v>
      </c>
      <c r="N23" t="str">
        <f>IF(H23="None","",I23-G23)</f>
        <v/>
      </c>
      <c r="O23" t="str">
        <f>IF(B23&lt;18,"Under 18",IF(B23&lt;40,"18 to 39",IF(B23&lt;60,"40 to 59","60 and above")))</f>
        <v>40 to 59</v>
      </c>
      <c r="P23">
        <f>IF(H23="None",0,1)</f>
        <v>0</v>
      </c>
      <c r="Q23">
        <f>IF(P23=0,0,IF(COUNTIFS(Known_ADRs!$A$2:$A$31,D23,Known_ADRs!$B$2:$B$31,H23)&gt;0,1,0))</f>
        <v>0</v>
      </c>
      <c r="R23">
        <f>IF(P23=0,0,IF(N23&gt;0,2,0))</f>
        <v>0</v>
      </c>
      <c r="S23">
        <f>IF(P23=0,0,IF(K23="Yes",1,IF(K23="No",-1,0)))</f>
        <v>0</v>
      </c>
      <c r="T23">
        <f>IF(P23=0,0,IF(L23&lt;&gt;"None",-1,0))</f>
        <v>0</v>
      </c>
      <c r="U23" t="str">
        <f>IF(P23=0,"",Q23+R23+S23+T23)</f>
        <v/>
      </c>
      <c r="V23" t="str">
        <f>IF(P23=0,"",IF(U23&gt;=3,"Probable",IF(U23&gt;=1,"Possible","Unlikely")))</f>
        <v/>
      </c>
    </row>
    <row r="24" spans="1:22" x14ac:dyDescent="0.25">
      <c r="A24" s="2" t="s">
        <v>97</v>
      </c>
      <c r="B24" s="2">
        <v>45</v>
      </c>
      <c r="C24" s="2" t="s">
        <v>24</v>
      </c>
      <c r="D24" s="2" t="s">
        <v>56</v>
      </c>
      <c r="E24" s="2" t="s">
        <v>57</v>
      </c>
      <c r="F24" s="2">
        <v>500</v>
      </c>
      <c r="G24" s="3">
        <v>45821</v>
      </c>
      <c r="H24" s="2" t="s">
        <v>17</v>
      </c>
      <c r="I24" s="3"/>
      <c r="J24" s="2" t="s">
        <v>17</v>
      </c>
      <c r="K24" s="2" t="s">
        <v>18</v>
      </c>
      <c r="L24" s="2" t="s">
        <v>17</v>
      </c>
      <c r="M24" s="2" t="s">
        <v>19</v>
      </c>
      <c r="N24" t="str">
        <f>IF(H24="None","",I24-G24)</f>
        <v/>
      </c>
      <c r="O24" t="str">
        <f>IF(B24&lt;18,"Under 18",IF(B24&lt;40,"18 to 39",IF(B24&lt;60,"40 to 59","60 and above")))</f>
        <v>40 to 59</v>
      </c>
      <c r="P24">
        <f>IF(H24="None",0,1)</f>
        <v>0</v>
      </c>
      <c r="Q24">
        <f>IF(P24=0,0,IF(COUNTIFS(Known_ADRs!$A$2:$A$31,D24,Known_ADRs!$B$2:$B$31,H24)&gt;0,1,0))</f>
        <v>0</v>
      </c>
      <c r="R24">
        <f>IF(P24=0,0,IF(N24&gt;0,2,0))</f>
        <v>0</v>
      </c>
      <c r="S24">
        <f>IF(P24=0,0,IF(K24="Yes",1,IF(K24="No",-1,0)))</f>
        <v>0</v>
      </c>
      <c r="T24">
        <f>IF(P24=0,0,IF(L24&lt;&gt;"None",-1,0))</f>
        <v>0</v>
      </c>
      <c r="U24" t="str">
        <f>IF(P24=0,"",Q24+R24+S24+T24)</f>
        <v/>
      </c>
      <c r="V24" t="str">
        <f>IF(P24=0,"",IF(U24&gt;=3,"Probable",IF(U24&gt;=1,"Possible","Unlikely")))</f>
        <v/>
      </c>
    </row>
    <row r="25" spans="1:22" x14ac:dyDescent="0.25">
      <c r="A25" s="2" t="s">
        <v>98</v>
      </c>
      <c r="B25" s="2">
        <v>69</v>
      </c>
      <c r="C25" s="2" t="s">
        <v>14</v>
      </c>
      <c r="D25" s="2" t="s">
        <v>56</v>
      </c>
      <c r="E25" s="2" t="s">
        <v>57</v>
      </c>
      <c r="F25" s="2">
        <v>500</v>
      </c>
      <c r="G25" s="3">
        <v>45923</v>
      </c>
      <c r="H25" s="2" t="s">
        <v>17</v>
      </c>
      <c r="I25" s="3"/>
      <c r="J25" s="2" t="s">
        <v>17</v>
      </c>
      <c r="K25" s="2" t="s">
        <v>18</v>
      </c>
      <c r="L25" s="2" t="s">
        <v>17</v>
      </c>
      <c r="M25" s="2" t="s">
        <v>19</v>
      </c>
      <c r="N25" t="str">
        <f>IF(H25="None","",I25-G25)</f>
        <v/>
      </c>
      <c r="O25" t="str">
        <f>IF(B25&lt;18,"Under 18",IF(B25&lt;40,"18 to 39",IF(B25&lt;60,"40 to 59","60 and above")))</f>
        <v>60 and above</v>
      </c>
      <c r="P25">
        <f>IF(H25="None",0,1)</f>
        <v>0</v>
      </c>
      <c r="Q25">
        <f>IF(P25=0,0,IF(COUNTIFS(Known_ADRs!$A$2:$A$31,D25,Known_ADRs!$B$2:$B$31,H25)&gt;0,1,0))</f>
        <v>0</v>
      </c>
      <c r="R25">
        <f>IF(P25=0,0,IF(N25&gt;0,2,0))</f>
        <v>0</v>
      </c>
      <c r="S25">
        <f>IF(P25=0,0,IF(K25="Yes",1,IF(K25="No",-1,0)))</f>
        <v>0</v>
      </c>
      <c r="T25">
        <f>IF(P25=0,0,IF(L25&lt;&gt;"None",-1,0))</f>
        <v>0</v>
      </c>
      <c r="U25" t="str">
        <f>IF(P25=0,"",Q25+R25+S25+T25)</f>
        <v/>
      </c>
      <c r="V25" t="str">
        <f>IF(P25=0,"",IF(U25&gt;=3,"Probable",IF(U25&gt;=1,"Possible","Unlikely")))</f>
        <v/>
      </c>
    </row>
    <row r="26" spans="1:22" x14ac:dyDescent="0.25">
      <c r="A26" s="2" t="s">
        <v>99</v>
      </c>
      <c r="B26" s="2">
        <v>18</v>
      </c>
      <c r="C26" s="2" t="s">
        <v>14</v>
      </c>
      <c r="D26" s="2" t="s">
        <v>15</v>
      </c>
      <c r="E26" s="2" t="s">
        <v>16</v>
      </c>
      <c r="F26" s="2">
        <v>20</v>
      </c>
      <c r="G26" s="3">
        <v>45727</v>
      </c>
      <c r="H26" s="2" t="s">
        <v>17</v>
      </c>
      <c r="I26" s="3"/>
      <c r="J26" s="2" t="s">
        <v>17</v>
      </c>
      <c r="K26" s="2" t="s">
        <v>18</v>
      </c>
      <c r="L26" s="2" t="s">
        <v>53</v>
      </c>
      <c r="M26" s="2" t="s">
        <v>19</v>
      </c>
      <c r="N26" t="str">
        <f>IF(H26="None","",I26-G26)</f>
        <v/>
      </c>
      <c r="O26" t="str">
        <f>IF(B26&lt;18,"Under 18",IF(B26&lt;40,"18 to 39",IF(B26&lt;60,"40 to 59","60 and above")))</f>
        <v>18 to 39</v>
      </c>
      <c r="P26">
        <f>IF(H26="None",0,1)</f>
        <v>0</v>
      </c>
      <c r="Q26">
        <f>IF(P26=0,0,IF(COUNTIFS(Known_ADRs!$A$2:$A$31,D26,Known_ADRs!$B$2:$B$31,H26)&gt;0,1,0))</f>
        <v>0</v>
      </c>
      <c r="R26">
        <f>IF(P26=0,0,IF(N26&gt;0,2,0))</f>
        <v>0</v>
      </c>
      <c r="S26">
        <f>IF(P26=0,0,IF(K26="Yes",1,IF(K26="No",-1,0)))</f>
        <v>0</v>
      </c>
      <c r="T26">
        <f>IF(P26=0,0,IF(L26&lt;&gt;"None",-1,0))</f>
        <v>0</v>
      </c>
      <c r="U26" t="str">
        <f>IF(P26=0,"",Q26+R26+S26+T26)</f>
        <v/>
      </c>
      <c r="V26" t="str">
        <f>IF(P26=0,"",IF(U26&gt;=3,"Probable",IF(U26&gt;=1,"Possible","Unlikely")))</f>
        <v/>
      </c>
    </row>
    <row r="27" spans="1:22" x14ac:dyDescent="0.25">
      <c r="A27" s="2" t="s">
        <v>101</v>
      </c>
      <c r="B27" s="2">
        <v>28</v>
      </c>
      <c r="C27" s="2" t="s">
        <v>14</v>
      </c>
      <c r="D27" s="2" t="s">
        <v>21</v>
      </c>
      <c r="E27" s="2" t="s">
        <v>22</v>
      </c>
      <c r="F27" s="2">
        <v>1000</v>
      </c>
      <c r="G27" s="3">
        <v>45755</v>
      </c>
      <c r="H27" s="2" t="s">
        <v>17</v>
      </c>
      <c r="I27" s="3"/>
      <c r="J27" s="2" t="s">
        <v>17</v>
      </c>
      <c r="K27" s="2" t="s">
        <v>18</v>
      </c>
      <c r="L27" s="2" t="s">
        <v>17</v>
      </c>
      <c r="M27" s="2" t="s">
        <v>19</v>
      </c>
      <c r="N27" t="str">
        <f>IF(H27="None","",I27-G27)</f>
        <v/>
      </c>
      <c r="O27" t="str">
        <f>IF(B27&lt;18,"Under 18",IF(B27&lt;40,"18 to 39",IF(B27&lt;60,"40 to 59","60 and above")))</f>
        <v>18 to 39</v>
      </c>
      <c r="P27">
        <f>IF(H27="None",0,1)</f>
        <v>0</v>
      </c>
      <c r="Q27">
        <f>IF(P27=0,0,IF(COUNTIFS(Known_ADRs!$A$2:$A$31,D27,Known_ADRs!$B$2:$B$31,H27)&gt;0,1,0))</f>
        <v>0</v>
      </c>
      <c r="R27">
        <f>IF(P27=0,0,IF(N27&gt;0,2,0))</f>
        <v>0</v>
      </c>
      <c r="S27">
        <f>IF(P27=0,0,IF(K27="Yes",1,IF(K27="No",-1,0)))</f>
        <v>0</v>
      </c>
      <c r="T27">
        <f>IF(P27=0,0,IF(L27&lt;&gt;"None",-1,0))</f>
        <v>0</v>
      </c>
      <c r="U27" t="str">
        <f>IF(P27=0,"",Q27+R27+S27+T27)</f>
        <v/>
      </c>
      <c r="V27" t="str">
        <f>IF(P27=0,"",IF(U27&gt;=3,"Probable",IF(U27&gt;=1,"Possible","Unlikely")))</f>
        <v/>
      </c>
    </row>
    <row r="28" spans="1:22" x14ac:dyDescent="0.25">
      <c r="A28" s="2" t="s">
        <v>102</v>
      </c>
      <c r="B28" s="2">
        <v>26</v>
      </c>
      <c r="C28" s="2" t="s">
        <v>14</v>
      </c>
      <c r="D28" s="2" t="s">
        <v>63</v>
      </c>
      <c r="E28" s="2" t="s">
        <v>64</v>
      </c>
      <c r="F28" s="2">
        <v>500</v>
      </c>
      <c r="G28" s="3">
        <v>45736</v>
      </c>
      <c r="H28" s="2" t="s">
        <v>17</v>
      </c>
      <c r="I28" s="3"/>
      <c r="J28" s="2" t="s">
        <v>17</v>
      </c>
      <c r="K28" s="2" t="s">
        <v>18</v>
      </c>
      <c r="L28" s="2" t="s">
        <v>17</v>
      </c>
      <c r="M28" s="2" t="s">
        <v>19</v>
      </c>
      <c r="N28" t="str">
        <f>IF(H28="None","",I28-G28)</f>
        <v/>
      </c>
      <c r="O28" t="str">
        <f>IF(B28&lt;18,"Under 18",IF(B28&lt;40,"18 to 39",IF(B28&lt;60,"40 to 59","60 and above")))</f>
        <v>18 to 39</v>
      </c>
      <c r="P28">
        <f>IF(H28="None",0,1)</f>
        <v>0</v>
      </c>
      <c r="Q28">
        <f>IF(P28=0,0,IF(COUNTIFS(Known_ADRs!$A$2:$A$31,D28,Known_ADRs!$B$2:$B$31,H28)&gt;0,1,0))</f>
        <v>0</v>
      </c>
      <c r="R28">
        <f>IF(P28=0,0,IF(N28&gt;0,2,0))</f>
        <v>0</v>
      </c>
      <c r="S28">
        <f>IF(P28=0,0,IF(K28="Yes",1,IF(K28="No",-1,0)))</f>
        <v>0</v>
      </c>
      <c r="T28">
        <f>IF(P28=0,0,IF(L28&lt;&gt;"None",-1,0))</f>
        <v>0</v>
      </c>
      <c r="U28" t="str">
        <f>IF(P28=0,"",Q28+R28+S28+T28)</f>
        <v/>
      </c>
      <c r="V28" t="str">
        <f>IF(P28=0,"",IF(U28&gt;=3,"Probable",IF(U28&gt;=1,"Possible","Unlikely")))</f>
        <v/>
      </c>
    </row>
    <row r="29" spans="1:22" x14ac:dyDescent="0.25">
      <c r="A29" s="2" t="s">
        <v>106</v>
      </c>
      <c r="B29" s="2">
        <v>34</v>
      </c>
      <c r="C29" s="2" t="s">
        <v>24</v>
      </c>
      <c r="D29" s="2" t="s">
        <v>26</v>
      </c>
      <c r="E29" s="2" t="s">
        <v>27</v>
      </c>
      <c r="F29" s="2">
        <v>5</v>
      </c>
      <c r="G29" s="3">
        <v>45765</v>
      </c>
      <c r="H29" s="2" t="s">
        <v>17</v>
      </c>
      <c r="I29" s="3"/>
      <c r="J29" s="2" t="s">
        <v>17</v>
      </c>
      <c r="K29" s="2" t="s">
        <v>18</v>
      </c>
      <c r="L29" s="2" t="s">
        <v>17</v>
      </c>
      <c r="M29" s="2" t="s">
        <v>19</v>
      </c>
      <c r="N29" t="str">
        <f>IF(H29="None","",I29-G29)</f>
        <v/>
      </c>
      <c r="O29" t="str">
        <f>IF(B29&lt;18,"Under 18",IF(B29&lt;40,"18 to 39",IF(B29&lt;60,"40 to 59","60 and above")))</f>
        <v>18 to 39</v>
      </c>
      <c r="P29">
        <f>IF(H29="None",0,1)</f>
        <v>0</v>
      </c>
      <c r="Q29">
        <f>IF(P29=0,0,IF(COUNTIFS(Known_ADRs!$A$2:$A$31,D29,Known_ADRs!$B$2:$B$31,H29)&gt;0,1,0))</f>
        <v>0</v>
      </c>
      <c r="R29">
        <f>IF(P29=0,0,IF(N29&gt;0,2,0))</f>
        <v>0</v>
      </c>
      <c r="S29">
        <f>IF(P29=0,0,IF(K29="Yes",1,IF(K29="No",-1,0)))</f>
        <v>0</v>
      </c>
      <c r="T29">
        <f>IF(P29=0,0,IF(L29&lt;&gt;"None",-1,0))</f>
        <v>0</v>
      </c>
      <c r="U29" t="str">
        <f>IF(P29=0,"",Q29+R29+S29+T29)</f>
        <v/>
      </c>
      <c r="V29" t="str">
        <f>IF(P29=0,"",IF(U29&gt;=3,"Probable",IF(U29&gt;=1,"Possible","Unlikely")))</f>
        <v/>
      </c>
    </row>
    <row r="30" spans="1:22" x14ac:dyDescent="0.25">
      <c r="A30" s="2" t="s">
        <v>107</v>
      </c>
      <c r="B30" s="2">
        <v>32</v>
      </c>
      <c r="C30" s="2" t="s">
        <v>24</v>
      </c>
      <c r="D30" s="2" t="s">
        <v>21</v>
      </c>
      <c r="E30" s="2" t="s">
        <v>22</v>
      </c>
      <c r="F30" s="2">
        <v>1000</v>
      </c>
      <c r="G30" s="3">
        <v>45800</v>
      </c>
      <c r="H30" s="2" t="s">
        <v>17</v>
      </c>
      <c r="I30" s="3"/>
      <c r="J30" s="2" t="s">
        <v>17</v>
      </c>
      <c r="K30" s="2" t="s">
        <v>18</v>
      </c>
      <c r="L30" s="2" t="s">
        <v>17</v>
      </c>
      <c r="M30" s="2" t="s">
        <v>19</v>
      </c>
      <c r="N30" t="str">
        <f>IF(H30="None","",I30-G30)</f>
        <v/>
      </c>
      <c r="O30" t="str">
        <f>IF(B30&lt;18,"Under 18",IF(B30&lt;40,"18 to 39",IF(B30&lt;60,"40 to 59","60 and above")))</f>
        <v>18 to 39</v>
      </c>
      <c r="P30">
        <f>IF(H30="None",0,1)</f>
        <v>0</v>
      </c>
      <c r="Q30">
        <f>IF(P30=0,0,IF(COUNTIFS(Known_ADRs!$A$2:$A$31,D30,Known_ADRs!$B$2:$B$31,H30)&gt;0,1,0))</f>
        <v>0</v>
      </c>
      <c r="R30">
        <f>IF(P30=0,0,IF(N30&gt;0,2,0))</f>
        <v>0</v>
      </c>
      <c r="S30">
        <f>IF(P30=0,0,IF(K30="Yes",1,IF(K30="No",-1,0)))</f>
        <v>0</v>
      </c>
      <c r="T30">
        <f>IF(P30=0,0,IF(L30&lt;&gt;"None",-1,0))</f>
        <v>0</v>
      </c>
      <c r="U30" t="str">
        <f>IF(P30=0,"",Q30+R30+S30+T30)</f>
        <v/>
      </c>
      <c r="V30" t="str">
        <f>IF(P30=0,"",IF(U30&gt;=3,"Probable",IF(U30&gt;=1,"Possible","Unlikely")))</f>
        <v/>
      </c>
    </row>
    <row r="31" spans="1:22" x14ac:dyDescent="0.25">
      <c r="A31" s="2" t="s">
        <v>110</v>
      </c>
      <c r="B31" s="2">
        <v>50</v>
      </c>
      <c r="C31" s="2" t="s">
        <v>24</v>
      </c>
      <c r="D31" s="2" t="s">
        <v>71</v>
      </c>
      <c r="E31" s="2" t="s">
        <v>72</v>
      </c>
      <c r="F31" s="2">
        <v>5</v>
      </c>
      <c r="G31" s="3">
        <v>45827</v>
      </c>
      <c r="H31" s="2" t="s">
        <v>17</v>
      </c>
      <c r="I31" s="3"/>
      <c r="J31" s="2" t="s">
        <v>17</v>
      </c>
      <c r="K31" s="2" t="s">
        <v>18</v>
      </c>
      <c r="L31" s="2" t="s">
        <v>53</v>
      </c>
      <c r="M31" s="2" t="s">
        <v>19</v>
      </c>
      <c r="N31" t="str">
        <f>IF(H31="None","",I31-G31)</f>
        <v/>
      </c>
      <c r="O31" t="str">
        <f>IF(B31&lt;18,"Under 18",IF(B31&lt;40,"18 to 39",IF(B31&lt;60,"40 to 59","60 and above")))</f>
        <v>40 to 59</v>
      </c>
      <c r="P31">
        <f>IF(H31="None",0,1)</f>
        <v>0</v>
      </c>
      <c r="Q31">
        <f>IF(P31=0,0,IF(COUNTIFS(Known_ADRs!$A$2:$A$31,D31,Known_ADRs!$B$2:$B$31,H31)&gt;0,1,0))</f>
        <v>0</v>
      </c>
      <c r="R31">
        <f>IF(P31=0,0,IF(N31&gt;0,2,0))</f>
        <v>0</v>
      </c>
      <c r="S31">
        <f>IF(P31=0,0,IF(K31="Yes",1,IF(K31="No",-1,0)))</f>
        <v>0</v>
      </c>
      <c r="T31">
        <f>IF(P31=0,0,IF(L31&lt;&gt;"None",-1,0))</f>
        <v>0</v>
      </c>
      <c r="U31" t="str">
        <f>IF(P31=0,"",Q31+R31+S31+T31)</f>
        <v/>
      </c>
      <c r="V31" t="str">
        <f>IF(P31=0,"",IF(U31&gt;=3,"Probable",IF(U31&gt;=1,"Possible","Unlikely")))</f>
        <v/>
      </c>
    </row>
    <row r="32" spans="1:22" x14ac:dyDescent="0.25">
      <c r="A32" s="2" t="s">
        <v>111</v>
      </c>
      <c r="B32" s="2">
        <v>22</v>
      </c>
      <c r="C32" s="2" t="s">
        <v>14</v>
      </c>
      <c r="D32" s="2" t="s">
        <v>63</v>
      </c>
      <c r="E32" s="2" t="s">
        <v>64</v>
      </c>
      <c r="F32" s="2">
        <v>500</v>
      </c>
      <c r="G32" s="3">
        <v>45819</v>
      </c>
      <c r="H32" s="2" t="s">
        <v>17</v>
      </c>
      <c r="I32" s="3"/>
      <c r="J32" s="2" t="s">
        <v>17</v>
      </c>
      <c r="K32" s="2" t="s">
        <v>18</v>
      </c>
      <c r="L32" s="2" t="s">
        <v>17</v>
      </c>
      <c r="M32" s="2" t="s">
        <v>19</v>
      </c>
      <c r="N32" t="str">
        <f>IF(H32="None","",I32-G32)</f>
        <v/>
      </c>
      <c r="O32" t="str">
        <f>IF(B32&lt;18,"Under 18",IF(B32&lt;40,"18 to 39",IF(B32&lt;60,"40 to 59","60 and above")))</f>
        <v>18 to 39</v>
      </c>
      <c r="P32">
        <f>IF(H32="None",0,1)</f>
        <v>0</v>
      </c>
      <c r="Q32">
        <f>IF(P32=0,0,IF(COUNTIFS(Known_ADRs!$A$2:$A$31,D32,Known_ADRs!$B$2:$B$31,H32)&gt;0,1,0))</f>
        <v>0</v>
      </c>
      <c r="R32">
        <f>IF(P32=0,0,IF(N32&gt;0,2,0))</f>
        <v>0</v>
      </c>
      <c r="S32">
        <f>IF(P32=0,0,IF(K32="Yes",1,IF(K32="No",-1,0)))</f>
        <v>0</v>
      </c>
      <c r="T32">
        <f>IF(P32=0,0,IF(L32&lt;&gt;"None",-1,0))</f>
        <v>0</v>
      </c>
      <c r="U32" t="str">
        <f>IF(P32=0,"",Q32+R32+S32+T32)</f>
        <v/>
      </c>
      <c r="V32" t="str">
        <f>IF(P32=0,"",IF(U32&gt;=3,"Probable",IF(U32&gt;=1,"Possible","Unlikely")))</f>
        <v/>
      </c>
    </row>
    <row r="33" spans="1:22" x14ac:dyDescent="0.25">
      <c r="A33" s="2" t="s">
        <v>112</v>
      </c>
      <c r="B33" s="2">
        <v>46</v>
      </c>
      <c r="C33" s="2" t="s">
        <v>24</v>
      </c>
      <c r="D33" s="2" t="s">
        <v>30</v>
      </c>
      <c r="E33" s="2" t="s">
        <v>31</v>
      </c>
      <c r="F33" s="2">
        <v>10</v>
      </c>
      <c r="G33" s="3">
        <v>45738</v>
      </c>
      <c r="H33" s="2" t="s">
        <v>17</v>
      </c>
      <c r="I33" s="3"/>
      <c r="J33" s="2" t="s">
        <v>17</v>
      </c>
      <c r="K33" s="2" t="s">
        <v>18</v>
      </c>
      <c r="L33" s="2" t="s">
        <v>17</v>
      </c>
      <c r="M33" s="2" t="s">
        <v>19</v>
      </c>
      <c r="N33" t="str">
        <f>IF(H33="None","",I33-G33)</f>
        <v/>
      </c>
      <c r="O33" t="str">
        <f>IF(B33&lt;18,"Under 18",IF(B33&lt;40,"18 to 39",IF(B33&lt;60,"40 to 59","60 and above")))</f>
        <v>40 to 59</v>
      </c>
      <c r="P33">
        <f>IF(H33="None",0,1)</f>
        <v>0</v>
      </c>
      <c r="Q33">
        <f>IF(P33=0,0,IF(COUNTIFS(Known_ADRs!$A$2:$A$31,D33,Known_ADRs!$B$2:$B$31,H33)&gt;0,1,0))</f>
        <v>0</v>
      </c>
      <c r="R33">
        <f>IF(P33=0,0,IF(N33&gt;0,2,0))</f>
        <v>0</v>
      </c>
      <c r="S33">
        <f>IF(P33=0,0,IF(K33="Yes",1,IF(K33="No",-1,0)))</f>
        <v>0</v>
      </c>
      <c r="T33">
        <f>IF(P33=0,0,IF(L33&lt;&gt;"None",-1,0))</f>
        <v>0</v>
      </c>
      <c r="U33" t="str">
        <f>IF(P33=0,"",Q33+R33+S33+T33)</f>
        <v/>
      </c>
      <c r="V33" t="str">
        <f>IF(P33=0,"",IF(U33&gt;=3,"Probable",IF(U33&gt;=1,"Possible","Unlikely")))</f>
        <v/>
      </c>
    </row>
    <row r="34" spans="1:22" x14ac:dyDescent="0.25">
      <c r="A34" s="2" t="s">
        <v>113</v>
      </c>
      <c r="B34" s="2">
        <v>55</v>
      </c>
      <c r="C34" s="2" t="s">
        <v>24</v>
      </c>
      <c r="D34" s="2" t="s">
        <v>56</v>
      </c>
      <c r="E34" s="2" t="s">
        <v>57</v>
      </c>
      <c r="F34" s="2">
        <v>500</v>
      </c>
      <c r="G34" s="3">
        <v>45876</v>
      </c>
      <c r="H34" s="2" t="s">
        <v>17</v>
      </c>
      <c r="I34" s="3"/>
      <c r="J34" s="2" t="s">
        <v>17</v>
      </c>
      <c r="K34" s="2" t="s">
        <v>18</v>
      </c>
      <c r="L34" s="2" t="s">
        <v>28</v>
      </c>
      <c r="M34" s="2" t="s">
        <v>19</v>
      </c>
      <c r="N34" t="str">
        <f>IF(H34="None","",I34-G34)</f>
        <v/>
      </c>
      <c r="O34" t="str">
        <f>IF(B34&lt;18,"Under 18",IF(B34&lt;40,"18 to 39",IF(B34&lt;60,"40 to 59","60 and above")))</f>
        <v>40 to 59</v>
      </c>
      <c r="P34">
        <f>IF(H34="None",0,1)</f>
        <v>0</v>
      </c>
      <c r="Q34">
        <f>IF(P34=0,0,IF(COUNTIFS(Known_ADRs!$A$2:$A$31,D34,Known_ADRs!$B$2:$B$31,H34)&gt;0,1,0))</f>
        <v>0</v>
      </c>
      <c r="R34">
        <f>IF(P34=0,0,IF(N34&gt;0,2,0))</f>
        <v>0</v>
      </c>
      <c r="S34">
        <f>IF(P34=0,0,IF(K34="Yes",1,IF(K34="No",-1,0)))</f>
        <v>0</v>
      </c>
      <c r="T34">
        <f>IF(P34=0,0,IF(L34&lt;&gt;"None",-1,0))</f>
        <v>0</v>
      </c>
      <c r="U34" t="str">
        <f>IF(P34=0,"",Q34+R34+S34+T34)</f>
        <v/>
      </c>
      <c r="V34" t="str">
        <f>IF(P34=0,"",IF(U34&gt;=3,"Probable",IF(U34&gt;=1,"Possible","Unlikely")))</f>
        <v/>
      </c>
    </row>
    <row r="35" spans="1:22" x14ac:dyDescent="0.25">
      <c r="A35" s="2" t="s">
        <v>114</v>
      </c>
      <c r="B35" s="2">
        <v>66</v>
      </c>
      <c r="C35" s="2" t="s">
        <v>24</v>
      </c>
      <c r="D35" s="2" t="s">
        <v>63</v>
      </c>
      <c r="E35" s="2" t="s">
        <v>64</v>
      </c>
      <c r="F35" s="2">
        <v>500</v>
      </c>
      <c r="G35" s="3">
        <v>45728</v>
      </c>
      <c r="H35" s="2" t="s">
        <v>17</v>
      </c>
      <c r="I35" s="3"/>
      <c r="J35" s="2" t="s">
        <v>17</v>
      </c>
      <c r="K35" s="2" t="s">
        <v>18</v>
      </c>
      <c r="L35" s="2" t="s">
        <v>17</v>
      </c>
      <c r="M35" s="2" t="s">
        <v>19</v>
      </c>
      <c r="N35" t="str">
        <f>IF(H35="None","",I35-G35)</f>
        <v/>
      </c>
      <c r="O35" t="str">
        <f>IF(B35&lt;18,"Under 18",IF(B35&lt;40,"18 to 39",IF(B35&lt;60,"40 to 59","60 and above")))</f>
        <v>60 and above</v>
      </c>
      <c r="P35">
        <f>IF(H35="None",0,1)</f>
        <v>0</v>
      </c>
      <c r="Q35">
        <f>IF(P35=0,0,IF(COUNTIFS(Known_ADRs!$A$2:$A$31,D35,Known_ADRs!$B$2:$B$31,H35)&gt;0,1,0))</f>
        <v>0</v>
      </c>
      <c r="R35">
        <f>IF(P35=0,0,IF(N35&gt;0,2,0))</f>
        <v>0</v>
      </c>
      <c r="S35">
        <f>IF(P35=0,0,IF(K35="Yes",1,IF(K35="No",-1,0)))</f>
        <v>0</v>
      </c>
      <c r="T35">
        <f>IF(P35=0,0,IF(L35&lt;&gt;"None",-1,0))</f>
        <v>0</v>
      </c>
      <c r="U35" t="str">
        <f>IF(P35=0,"",Q35+R35+S35+T35)</f>
        <v/>
      </c>
      <c r="V35" t="str">
        <f>IF(P35=0,"",IF(U35&gt;=3,"Probable",IF(U35&gt;=1,"Possible","Unlikely")))</f>
        <v/>
      </c>
    </row>
    <row r="36" spans="1:22" x14ac:dyDescent="0.25">
      <c r="A36" s="2" t="s">
        <v>115</v>
      </c>
      <c r="B36" s="2">
        <v>74</v>
      </c>
      <c r="C36" s="2" t="s">
        <v>24</v>
      </c>
      <c r="D36" s="2" t="s">
        <v>63</v>
      </c>
      <c r="E36" s="2" t="s">
        <v>64</v>
      </c>
      <c r="F36" s="2">
        <v>500</v>
      </c>
      <c r="G36" s="3">
        <v>45663</v>
      </c>
      <c r="H36" s="2" t="s">
        <v>17</v>
      </c>
      <c r="I36" s="3"/>
      <c r="J36" s="2" t="s">
        <v>17</v>
      </c>
      <c r="K36" s="2" t="s">
        <v>18</v>
      </c>
      <c r="L36" s="2" t="s">
        <v>28</v>
      </c>
      <c r="M36" s="2" t="s">
        <v>19</v>
      </c>
      <c r="N36" t="str">
        <f>IF(H36="None","",I36-G36)</f>
        <v/>
      </c>
      <c r="O36" t="str">
        <f>IF(B36&lt;18,"Under 18",IF(B36&lt;40,"18 to 39",IF(B36&lt;60,"40 to 59","60 and above")))</f>
        <v>60 and above</v>
      </c>
      <c r="P36">
        <f>IF(H36="None",0,1)</f>
        <v>0</v>
      </c>
      <c r="Q36">
        <f>IF(P36=0,0,IF(COUNTIFS(Known_ADRs!$A$2:$A$31,D36,Known_ADRs!$B$2:$B$31,H36)&gt;0,1,0))</f>
        <v>0</v>
      </c>
      <c r="R36">
        <f>IF(P36=0,0,IF(N36&gt;0,2,0))</f>
        <v>0</v>
      </c>
      <c r="S36">
        <f>IF(P36=0,0,IF(K36="Yes",1,IF(K36="No",-1,0)))</f>
        <v>0</v>
      </c>
      <c r="T36">
        <f>IF(P36=0,0,IF(L36&lt;&gt;"None",-1,0))</f>
        <v>0</v>
      </c>
      <c r="U36" t="str">
        <f>IF(P36=0,"",Q36+R36+S36+T36)</f>
        <v/>
      </c>
      <c r="V36" t="str">
        <f>IF(P36=0,"",IF(U36&gt;=3,"Probable",IF(U36&gt;=1,"Possible","Unlikely")))</f>
        <v/>
      </c>
    </row>
    <row r="37" spans="1:22" x14ac:dyDescent="0.25">
      <c r="A37" s="2" t="s">
        <v>117</v>
      </c>
      <c r="B37" s="2">
        <v>45</v>
      </c>
      <c r="C37" s="2" t="s">
        <v>24</v>
      </c>
      <c r="D37" s="2" t="s">
        <v>56</v>
      </c>
      <c r="E37" s="2" t="s">
        <v>57</v>
      </c>
      <c r="F37" s="2">
        <v>500</v>
      </c>
      <c r="G37" s="3">
        <v>45697</v>
      </c>
      <c r="H37" s="2" t="s">
        <v>17</v>
      </c>
      <c r="I37" s="3"/>
      <c r="J37" s="2" t="s">
        <v>17</v>
      </c>
      <c r="K37" s="2" t="s">
        <v>18</v>
      </c>
      <c r="L37" s="2" t="s">
        <v>35</v>
      </c>
      <c r="M37" s="2" t="s">
        <v>19</v>
      </c>
      <c r="N37" t="str">
        <f>IF(H37="None","",I37-G37)</f>
        <v/>
      </c>
      <c r="O37" t="str">
        <f>IF(B37&lt;18,"Under 18",IF(B37&lt;40,"18 to 39",IF(B37&lt;60,"40 to 59","60 and above")))</f>
        <v>40 to 59</v>
      </c>
      <c r="P37">
        <f>IF(H37="None",0,1)</f>
        <v>0</v>
      </c>
      <c r="Q37">
        <f>IF(P37=0,0,IF(COUNTIFS(Known_ADRs!$A$2:$A$31,D37,Known_ADRs!$B$2:$B$31,H37)&gt;0,1,0))</f>
        <v>0</v>
      </c>
      <c r="R37">
        <f>IF(P37=0,0,IF(N37&gt;0,2,0))</f>
        <v>0</v>
      </c>
      <c r="S37">
        <f>IF(P37=0,0,IF(K37="Yes",1,IF(K37="No",-1,0)))</f>
        <v>0</v>
      </c>
      <c r="T37">
        <f>IF(P37=0,0,IF(L37&lt;&gt;"None",-1,0))</f>
        <v>0</v>
      </c>
      <c r="U37" t="str">
        <f>IF(P37=0,"",Q37+R37+S37+T37)</f>
        <v/>
      </c>
      <c r="V37" t="str">
        <f>IF(P37=0,"",IF(U37&gt;=3,"Probable",IF(U37&gt;=1,"Possible","Unlikely")))</f>
        <v/>
      </c>
    </row>
    <row r="38" spans="1:22" x14ac:dyDescent="0.25">
      <c r="A38" s="2" t="s">
        <v>118</v>
      </c>
      <c r="B38" s="2">
        <v>75</v>
      </c>
      <c r="C38" s="2" t="s">
        <v>14</v>
      </c>
      <c r="D38" s="2" t="s">
        <v>56</v>
      </c>
      <c r="E38" s="2" t="s">
        <v>57</v>
      </c>
      <c r="F38" s="2">
        <v>500</v>
      </c>
      <c r="G38" s="3">
        <v>45870</v>
      </c>
      <c r="H38" s="2" t="s">
        <v>17</v>
      </c>
      <c r="I38" s="3"/>
      <c r="J38" s="2" t="s">
        <v>17</v>
      </c>
      <c r="K38" s="2" t="s">
        <v>18</v>
      </c>
      <c r="L38" s="2" t="s">
        <v>35</v>
      </c>
      <c r="M38" s="2" t="s">
        <v>19</v>
      </c>
      <c r="N38" t="str">
        <f>IF(H38="None","",I38-G38)</f>
        <v/>
      </c>
      <c r="O38" t="str">
        <f>IF(B38&lt;18,"Under 18",IF(B38&lt;40,"18 to 39",IF(B38&lt;60,"40 to 59","60 and above")))</f>
        <v>60 and above</v>
      </c>
      <c r="P38">
        <f>IF(H38="None",0,1)</f>
        <v>0</v>
      </c>
      <c r="Q38">
        <f>IF(P38=0,0,IF(COUNTIFS(Known_ADRs!$A$2:$A$31,D38,Known_ADRs!$B$2:$B$31,H38)&gt;0,1,0))</f>
        <v>0</v>
      </c>
      <c r="R38">
        <f>IF(P38=0,0,IF(N38&gt;0,2,0))</f>
        <v>0</v>
      </c>
      <c r="S38">
        <f>IF(P38=0,0,IF(K38="Yes",1,IF(K38="No",-1,0)))</f>
        <v>0</v>
      </c>
      <c r="T38">
        <f>IF(P38=0,0,IF(L38&lt;&gt;"None",-1,0))</f>
        <v>0</v>
      </c>
      <c r="U38" t="str">
        <f>IF(P38=0,"",Q38+R38+S38+T38)</f>
        <v/>
      </c>
      <c r="V38" t="str">
        <f>IF(P38=0,"",IF(U38&gt;=3,"Probable",IF(U38&gt;=1,"Possible","Unlikely")))</f>
        <v/>
      </c>
    </row>
    <row r="39" spans="1:22" x14ac:dyDescent="0.25">
      <c r="A39" s="2" t="s">
        <v>119</v>
      </c>
      <c r="B39" s="2">
        <v>53</v>
      </c>
      <c r="C39" s="2" t="s">
        <v>24</v>
      </c>
      <c r="D39" s="2" t="s">
        <v>41</v>
      </c>
      <c r="E39" s="2" t="s">
        <v>42</v>
      </c>
      <c r="F39" s="2">
        <v>650</v>
      </c>
      <c r="G39" s="3">
        <v>45658</v>
      </c>
      <c r="H39" s="2" t="s">
        <v>17</v>
      </c>
      <c r="I39" s="3"/>
      <c r="J39" s="2" t="s">
        <v>17</v>
      </c>
      <c r="K39" s="2" t="s">
        <v>18</v>
      </c>
      <c r="L39" s="2" t="s">
        <v>28</v>
      </c>
      <c r="M39" s="2" t="s">
        <v>19</v>
      </c>
      <c r="N39" t="str">
        <f>IF(H39="None","",I39-G39)</f>
        <v/>
      </c>
      <c r="O39" t="str">
        <f>IF(B39&lt;18,"Under 18",IF(B39&lt;40,"18 to 39",IF(B39&lt;60,"40 to 59","60 and above")))</f>
        <v>40 to 59</v>
      </c>
      <c r="P39">
        <f>IF(H39="None",0,1)</f>
        <v>0</v>
      </c>
      <c r="Q39">
        <f>IF(P39=0,0,IF(COUNTIFS(Known_ADRs!$A$2:$A$31,D39,Known_ADRs!$B$2:$B$31,H39)&gt;0,1,0))</f>
        <v>0</v>
      </c>
      <c r="R39">
        <f>IF(P39=0,0,IF(N39&gt;0,2,0))</f>
        <v>0</v>
      </c>
      <c r="S39">
        <f>IF(P39=0,0,IF(K39="Yes",1,IF(K39="No",-1,0)))</f>
        <v>0</v>
      </c>
      <c r="T39">
        <f>IF(P39=0,0,IF(L39&lt;&gt;"None",-1,0))</f>
        <v>0</v>
      </c>
      <c r="U39" t="str">
        <f>IF(P39=0,"",Q39+R39+S39+T39)</f>
        <v/>
      </c>
      <c r="V39" t="str">
        <f>IF(P39=0,"",IF(U39&gt;=3,"Probable",IF(U39&gt;=1,"Possible","Unlikely")))</f>
        <v/>
      </c>
    </row>
    <row r="40" spans="1:22" x14ac:dyDescent="0.25">
      <c r="A40" s="2" t="s">
        <v>120</v>
      </c>
      <c r="B40" s="2">
        <v>37</v>
      </c>
      <c r="C40" s="2" t="s">
        <v>24</v>
      </c>
      <c r="D40" s="2" t="s">
        <v>71</v>
      </c>
      <c r="E40" s="2" t="s">
        <v>72</v>
      </c>
      <c r="F40" s="2">
        <v>5</v>
      </c>
      <c r="G40" s="3">
        <v>45749</v>
      </c>
      <c r="H40" s="2" t="s">
        <v>17</v>
      </c>
      <c r="I40" s="3"/>
      <c r="J40" s="2" t="s">
        <v>17</v>
      </c>
      <c r="K40" s="2" t="s">
        <v>18</v>
      </c>
      <c r="L40" s="2" t="s">
        <v>17</v>
      </c>
      <c r="M40" s="2" t="s">
        <v>19</v>
      </c>
      <c r="N40" t="str">
        <f>IF(H40="None","",I40-G40)</f>
        <v/>
      </c>
      <c r="O40" t="str">
        <f>IF(B40&lt;18,"Under 18",IF(B40&lt;40,"18 to 39",IF(B40&lt;60,"40 to 59","60 and above")))</f>
        <v>18 to 39</v>
      </c>
      <c r="P40">
        <f>IF(H40="None",0,1)</f>
        <v>0</v>
      </c>
      <c r="Q40">
        <f>IF(P40=0,0,IF(COUNTIFS(Known_ADRs!$A$2:$A$31,D40,Known_ADRs!$B$2:$B$31,H40)&gt;0,1,0))</f>
        <v>0</v>
      </c>
      <c r="R40">
        <f>IF(P40=0,0,IF(N40&gt;0,2,0))</f>
        <v>0</v>
      </c>
      <c r="S40">
        <f>IF(P40=0,0,IF(K40="Yes",1,IF(K40="No",-1,0)))</f>
        <v>0</v>
      </c>
      <c r="T40">
        <f>IF(P40=0,0,IF(L40&lt;&gt;"None",-1,0))</f>
        <v>0</v>
      </c>
      <c r="U40" t="str">
        <f>IF(P40=0,"",Q40+R40+S40+T40)</f>
        <v/>
      </c>
      <c r="V40" t="str">
        <f>IF(P40=0,"",IF(U40&gt;=3,"Probable",IF(U40&gt;=1,"Possible","Unlikely")))</f>
        <v/>
      </c>
    </row>
    <row r="41" spans="1:22" x14ac:dyDescent="0.25">
      <c r="A41" s="2" t="s">
        <v>121</v>
      </c>
      <c r="B41" s="2">
        <v>59</v>
      </c>
      <c r="C41" s="2" t="s">
        <v>24</v>
      </c>
      <c r="D41" s="2" t="s">
        <v>44</v>
      </c>
      <c r="E41" s="2" t="s">
        <v>45</v>
      </c>
      <c r="F41" s="2">
        <v>100</v>
      </c>
      <c r="G41" s="3">
        <v>45893</v>
      </c>
      <c r="H41" s="2" t="s">
        <v>17</v>
      </c>
      <c r="I41" s="3"/>
      <c r="J41" s="2" t="s">
        <v>17</v>
      </c>
      <c r="K41" s="2" t="s">
        <v>18</v>
      </c>
      <c r="L41" s="2" t="s">
        <v>17</v>
      </c>
      <c r="M41" s="2" t="s">
        <v>19</v>
      </c>
      <c r="N41" t="str">
        <f>IF(H41="None","",I41-G41)</f>
        <v/>
      </c>
      <c r="O41" t="str">
        <f>IF(B41&lt;18,"Under 18",IF(B41&lt;40,"18 to 39",IF(B41&lt;60,"40 to 59","60 and above")))</f>
        <v>40 to 59</v>
      </c>
      <c r="P41">
        <f>IF(H41="None",0,1)</f>
        <v>0</v>
      </c>
      <c r="Q41">
        <f>IF(P41=0,0,IF(COUNTIFS(Known_ADRs!$A$2:$A$31,D41,Known_ADRs!$B$2:$B$31,H41)&gt;0,1,0))</f>
        <v>0</v>
      </c>
      <c r="R41">
        <f>IF(P41=0,0,IF(N41&gt;0,2,0))</f>
        <v>0</v>
      </c>
      <c r="S41">
        <f>IF(P41=0,0,IF(K41="Yes",1,IF(K41="No",-1,0)))</f>
        <v>0</v>
      </c>
      <c r="T41">
        <f>IF(P41=0,0,IF(L41&lt;&gt;"None",-1,0))</f>
        <v>0</v>
      </c>
      <c r="U41" t="str">
        <f>IF(P41=0,"",Q41+R41+S41+T41)</f>
        <v/>
      </c>
      <c r="V41" t="str">
        <f>IF(P41=0,"",IF(U41&gt;=3,"Probable",IF(U41&gt;=1,"Possible","Unlikely")))</f>
        <v/>
      </c>
    </row>
    <row r="42" spans="1:22" x14ac:dyDescent="0.25">
      <c r="A42" s="2" t="s">
        <v>122</v>
      </c>
      <c r="B42" s="2">
        <v>25</v>
      </c>
      <c r="C42" s="2" t="s">
        <v>14</v>
      </c>
      <c r="D42" s="2" t="s">
        <v>15</v>
      </c>
      <c r="E42" s="2" t="s">
        <v>16</v>
      </c>
      <c r="F42" s="2">
        <v>20</v>
      </c>
      <c r="G42" s="3">
        <v>45776</v>
      </c>
      <c r="H42" s="2" t="s">
        <v>17</v>
      </c>
      <c r="I42" s="3"/>
      <c r="J42" s="2" t="s">
        <v>17</v>
      </c>
      <c r="K42" s="2" t="s">
        <v>18</v>
      </c>
      <c r="L42" s="2" t="s">
        <v>17</v>
      </c>
      <c r="M42" s="2" t="s">
        <v>19</v>
      </c>
      <c r="N42" t="str">
        <f>IF(H42="None","",I42-G42)</f>
        <v/>
      </c>
      <c r="O42" t="str">
        <f>IF(B42&lt;18,"Under 18",IF(B42&lt;40,"18 to 39",IF(B42&lt;60,"40 to 59","60 and above")))</f>
        <v>18 to 39</v>
      </c>
      <c r="P42">
        <f>IF(H42="None",0,1)</f>
        <v>0</v>
      </c>
      <c r="Q42">
        <f>IF(P42=0,0,IF(COUNTIFS(Known_ADRs!$A$2:$A$31,D42,Known_ADRs!$B$2:$B$31,H42)&gt;0,1,0))</f>
        <v>0</v>
      </c>
      <c r="R42">
        <f>IF(P42=0,0,IF(N42&gt;0,2,0))</f>
        <v>0</v>
      </c>
      <c r="S42">
        <f>IF(P42=0,0,IF(K42="Yes",1,IF(K42="No",-1,0)))</f>
        <v>0</v>
      </c>
      <c r="T42">
        <f>IF(P42=0,0,IF(L42&lt;&gt;"None",-1,0))</f>
        <v>0</v>
      </c>
      <c r="U42" t="str">
        <f>IF(P42=0,"",Q42+R42+S42+T42)</f>
        <v/>
      </c>
      <c r="V42" t="str">
        <f>IF(P42=0,"",IF(U42&gt;=3,"Probable",IF(U42&gt;=1,"Possible","Unlikely")))</f>
        <v/>
      </c>
    </row>
    <row r="43" spans="1:22" x14ac:dyDescent="0.25">
      <c r="A43" s="2" t="s">
        <v>123</v>
      </c>
      <c r="B43" s="2">
        <v>69</v>
      </c>
      <c r="C43" s="2" t="s">
        <v>14</v>
      </c>
      <c r="D43" s="2" t="s">
        <v>63</v>
      </c>
      <c r="E43" s="2" t="s">
        <v>64</v>
      </c>
      <c r="F43" s="2">
        <v>500</v>
      </c>
      <c r="G43" s="3">
        <v>45853</v>
      </c>
      <c r="H43" s="2" t="s">
        <v>17</v>
      </c>
      <c r="I43" s="3"/>
      <c r="J43" s="2" t="s">
        <v>17</v>
      </c>
      <c r="K43" s="2" t="s">
        <v>18</v>
      </c>
      <c r="L43" s="2" t="s">
        <v>53</v>
      </c>
      <c r="M43" s="2" t="s">
        <v>19</v>
      </c>
      <c r="N43" t="str">
        <f>IF(H43="None","",I43-G43)</f>
        <v/>
      </c>
      <c r="O43" t="str">
        <f>IF(B43&lt;18,"Under 18",IF(B43&lt;40,"18 to 39",IF(B43&lt;60,"40 to 59","60 and above")))</f>
        <v>60 and above</v>
      </c>
      <c r="P43">
        <f>IF(H43="None",0,1)</f>
        <v>0</v>
      </c>
      <c r="Q43">
        <f>IF(P43=0,0,IF(COUNTIFS(Known_ADRs!$A$2:$A$31,D43,Known_ADRs!$B$2:$B$31,H43)&gt;0,1,0))</f>
        <v>0</v>
      </c>
      <c r="R43">
        <f>IF(P43=0,0,IF(N43&gt;0,2,0))</f>
        <v>0</v>
      </c>
      <c r="S43">
        <f>IF(P43=0,0,IF(K43="Yes",1,IF(K43="No",-1,0)))</f>
        <v>0</v>
      </c>
      <c r="T43">
        <f>IF(P43=0,0,IF(L43&lt;&gt;"None",-1,0))</f>
        <v>0</v>
      </c>
      <c r="U43" t="str">
        <f>IF(P43=0,"",Q43+R43+S43+T43)</f>
        <v/>
      </c>
      <c r="V43" t="str">
        <f>IF(P43=0,"",IF(U43&gt;=3,"Probable",IF(U43&gt;=1,"Possible","Unlikely")))</f>
        <v/>
      </c>
    </row>
    <row r="44" spans="1:22" x14ac:dyDescent="0.25">
      <c r="A44" s="2" t="s">
        <v>124</v>
      </c>
      <c r="B44" s="2">
        <v>40</v>
      </c>
      <c r="C44" s="2" t="s">
        <v>24</v>
      </c>
      <c r="D44" s="2" t="s">
        <v>38</v>
      </c>
      <c r="E44" s="2" t="s">
        <v>39</v>
      </c>
      <c r="F44" s="2">
        <v>20</v>
      </c>
      <c r="G44" s="3">
        <v>45849</v>
      </c>
      <c r="H44" s="2" t="s">
        <v>17</v>
      </c>
      <c r="I44" s="3"/>
      <c r="J44" s="2" t="s">
        <v>17</v>
      </c>
      <c r="K44" s="2" t="s">
        <v>18</v>
      </c>
      <c r="L44" s="2" t="s">
        <v>53</v>
      </c>
      <c r="M44" s="2" t="s">
        <v>19</v>
      </c>
      <c r="N44" t="str">
        <f>IF(H44="None","",I44-G44)</f>
        <v/>
      </c>
      <c r="O44" t="str">
        <f>IF(B44&lt;18,"Under 18",IF(B44&lt;40,"18 to 39",IF(B44&lt;60,"40 to 59","60 and above")))</f>
        <v>40 to 59</v>
      </c>
      <c r="P44">
        <f>IF(H44="None",0,1)</f>
        <v>0</v>
      </c>
      <c r="Q44">
        <f>IF(P44=0,0,IF(COUNTIFS(Known_ADRs!$A$2:$A$31,D44,Known_ADRs!$B$2:$B$31,H44)&gt;0,1,0))</f>
        <v>0</v>
      </c>
      <c r="R44">
        <f>IF(P44=0,0,IF(N44&gt;0,2,0))</f>
        <v>0</v>
      </c>
      <c r="S44">
        <f>IF(P44=0,0,IF(K44="Yes",1,IF(K44="No",-1,0)))</f>
        <v>0</v>
      </c>
      <c r="T44">
        <f>IF(P44=0,0,IF(L44&lt;&gt;"None",-1,0))</f>
        <v>0</v>
      </c>
      <c r="U44" t="str">
        <f>IF(P44=0,"",Q44+R44+S44+T44)</f>
        <v/>
      </c>
      <c r="V44" t="str">
        <f>IF(P44=0,"",IF(U44&gt;=3,"Probable",IF(U44&gt;=1,"Possible","Unlikely")))</f>
        <v/>
      </c>
    </row>
    <row r="45" spans="1:22" x14ac:dyDescent="0.25">
      <c r="A45" s="2" t="s">
        <v>126</v>
      </c>
      <c r="B45" s="2">
        <v>74</v>
      </c>
      <c r="C45" s="2" t="s">
        <v>14</v>
      </c>
      <c r="D45" s="2" t="s">
        <v>15</v>
      </c>
      <c r="E45" s="2" t="s">
        <v>16</v>
      </c>
      <c r="F45" s="2">
        <v>20</v>
      </c>
      <c r="G45" s="3">
        <v>45671</v>
      </c>
      <c r="H45" s="2" t="s">
        <v>17</v>
      </c>
      <c r="I45" s="3"/>
      <c r="J45" s="2" t="s">
        <v>17</v>
      </c>
      <c r="K45" s="2" t="s">
        <v>18</v>
      </c>
      <c r="L45" s="2" t="s">
        <v>28</v>
      </c>
      <c r="M45" s="2" t="s">
        <v>19</v>
      </c>
      <c r="N45" t="str">
        <f>IF(H45="None","",I45-G45)</f>
        <v/>
      </c>
      <c r="O45" t="str">
        <f>IF(B45&lt;18,"Under 18",IF(B45&lt;40,"18 to 39",IF(B45&lt;60,"40 to 59","60 and above")))</f>
        <v>60 and above</v>
      </c>
      <c r="P45">
        <f>IF(H45="None",0,1)</f>
        <v>0</v>
      </c>
      <c r="Q45">
        <f>IF(P45=0,0,IF(COUNTIFS(Known_ADRs!$A$2:$A$31,D45,Known_ADRs!$B$2:$B$31,H45)&gt;0,1,0))</f>
        <v>0</v>
      </c>
      <c r="R45">
        <f>IF(P45=0,0,IF(N45&gt;0,2,0))</f>
        <v>0</v>
      </c>
      <c r="S45">
        <f>IF(P45=0,0,IF(K45="Yes",1,IF(K45="No",-1,0)))</f>
        <v>0</v>
      </c>
      <c r="T45">
        <f>IF(P45=0,0,IF(L45&lt;&gt;"None",-1,0))</f>
        <v>0</v>
      </c>
      <c r="U45" t="str">
        <f>IF(P45=0,"",Q45+R45+S45+T45)</f>
        <v/>
      </c>
      <c r="V45" t="str">
        <f>IF(P45=0,"",IF(U45&gt;=3,"Probable",IF(U45&gt;=1,"Possible","Unlikely")))</f>
        <v/>
      </c>
    </row>
    <row r="46" spans="1:22" x14ac:dyDescent="0.25">
      <c r="A46" s="2" t="s">
        <v>127</v>
      </c>
      <c r="B46" s="2">
        <v>68</v>
      </c>
      <c r="C46" s="2" t="s">
        <v>14</v>
      </c>
      <c r="D46" s="2" t="s">
        <v>44</v>
      </c>
      <c r="E46" s="2" t="s">
        <v>45</v>
      </c>
      <c r="F46" s="2">
        <v>100</v>
      </c>
      <c r="G46" s="3">
        <v>45800</v>
      </c>
      <c r="H46" s="2" t="s">
        <v>17</v>
      </c>
      <c r="I46" s="3"/>
      <c r="J46" s="2" t="s">
        <v>17</v>
      </c>
      <c r="K46" s="2" t="s">
        <v>18</v>
      </c>
      <c r="L46" s="2" t="s">
        <v>35</v>
      </c>
      <c r="M46" s="2" t="s">
        <v>19</v>
      </c>
      <c r="N46" t="str">
        <f>IF(H46="None","",I46-G46)</f>
        <v/>
      </c>
      <c r="O46" t="str">
        <f>IF(B46&lt;18,"Under 18",IF(B46&lt;40,"18 to 39",IF(B46&lt;60,"40 to 59","60 and above")))</f>
        <v>60 and above</v>
      </c>
      <c r="P46">
        <f>IF(H46="None",0,1)</f>
        <v>0</v>
      </c>
      <c r="Q46">
        <f>IF(P46=0,0,IF(COUNTIFS(Known_ADRs!$A$2:$A$31,D46,Known_ADRs!$B$2:$B$31,H46)&gt;0,1,0))</f>
        <v>0</v>
      </c>
      <c r="R46">
        <f>IF(P46=0,0,IF(N46&gt;0,2,0))</f>
        <v>0</v>
      </c>
      <c r="S46">
        <f>IF(P46=0,0,IF(K46="Yes",1,IF(K46="No",-1,0)))</f>
        <v>0</v>
      </c>
      <c r="T46">
        <f>IF(P46=0,0,IF(L46&lt;&gt;"None",-1,0))</f>
        <v>0</v>
      </c>
      <c r="U46" t="str">
        <f>IF(P46=0,"",Q46+R46+S46+T46)</f>
        <v/>
      </c>
      <c r="V46" t="str">
        <f>IF(P46=0,"",IF(U46&gt;=3,"Probable",IF(U46&gt;=1,"Possible","Unlikely")))</f>
        <v/>
      </c>
    </row>
    <row r="47" spans="1:22" x14ac:dyDescent="0.25">
      <c r="A47" s="2" t="s">
        <v>128</v>
      </c>
      <c r="B47" s="2">
        <v>41</v>
      </c>
      <c r="C47" s="2" t="s">
        <v>24</v>
      </c>
      <c r="D47" s="2" t="s">
        <v>41</v>
      </c>
      <c r="E47" s="2" t="s">
        <v>42</v>
      </c>
      <c r="F47" s="2">
        <v>650</v>
      </c>
      <c r="G47" s="3">
        <v>45896</v>
      </c>
      <c r="H47" s="2" t="s">
        <v>17</v>
      </c>
      <c r="I47" s="3"/>
      <c r="J47" s="2" t="s">
        <v>17</v>
      </c>
      <c r="K47" s="2" t="s">
        <v>18</v>
      </c>
      <c r="L47" s="2" t="s">
        <v>17</v>
      </c>
      <c r="M47" s="2" t="s">
        <v>19</v>
      </c>
      <c r="N47" t="str">
        <f>IF(H47="None","",I47-G47)</f>
        <v/>
      </c>
      <c r="O47" t="str">
        <f>IF(B47&lt;18,"Under 18",IF(B47&lt;40,"18 to 39",IF(B47&lt;60,"40 to 59","60 and above")))</f>
        <v>40 to 59</v>
      </c>
      <c r="P47">
        <f>IF(H47="None",0,1)</f>
        <v>0</v>
      </c>
      <c r="Q47">
        <f>IF(P47=0,0,IF(COUNTIFS(Known_ADRs!$A$2:$A$31,D47,Known_ADRs!$B$2:$B$31,H47)&gt;0,1,0))</f>
        <v>0</v>
      </c>
      <c r="R47">
        <f>IF(P47=0,0,IF(N47&gt;0,2,0))</f>
        <v>0</v>
      </c>
      <c r="S47">
        <f>IF(P47=0,0,IF(K47="Yes",1,IF(K47="No",-1,0)))</f>
        <v>0</v>
      </c>
      <c r="T47">
        <f>IF(P47=0,0,IF(L47&lt;&gt;"None",-1,0))</f>
        <v>0</v>
      </c>
      <c r="U47" t="str">
        <f>IF(P47=0,"",Q47+R47+S47+T47)</f>
        <v/>
      </c>
      <c r="V47" t="str">
        <f>IF(P47=0,"",IF(U47&gt;=3,"Probable",IF(U47&gt;=1,"Possible","Unlikely")))</f>
        <v/>
      </c>
    </row>
    <row r="48" spans="1:22" x14ac:dyDescent="0.25">
      <c r="A48" s="2" t="s">
        <v>129</v>
      </c>
      <c r="B48" s="2">
        <v>23</v>
      </c>
      <c r="C48" s="2" t="s">
        <v>14</v>
      </c>
      <c r="D48" s="2" t="s">
        <v>63</v>
      </c>
      <c r="E48" s="2" t="s">
        <v>64</v>
      </c>
      <c r="F48" s="2">
        <v>500</v>
      </c>
      <c r="G48" s="3">
        <v>45766</v>
      </c>
      <c r="H48" s="2" t="s">
        <v>17</v>
      </c>
      <c r="I48" s="3"/>
      <c r="J48" s="2" t="s">
        <v>17</v>
      </c>
      <c r="K48" s="2" t="s">
        <v>18</v>
      </c>
      <c r="L48" s="2" t="s">
        <v>17</v>
      </c>
      <c r="M48" s="2" t="s">
        <v>19</v>
      </c>
      <c r="N48" t="str">
        <f>IF(H48="None","",I48-G48)</f>
        <v/>
      </c>
      <c r="O48" t="str">
        <f>IF(B48&lt;18,"Under 18",IF(B48&lt;40,"18 to 39",IF(B48&lt;60,"40 to 59","60 and above")))</f>
        <v>18 to 39</v>
      </c>
      <c r="P48">
        <f>IF(H48="None",0,1)</f>
        <v>0</v>
      </c>
      <c r="Q48">
        <f>IF(P48=0,0,IF(COUNTIFS(Known_ADRs!$A$2:$A$31,D48,Known_ADRs!$B$2:$B$31,H48)&gt;0,1,0))</f>
        <v>0</v>
      </c>
      <c r="R48">
        <f>IF(P48=0,0,IF(N48&gt;0,2,0))</f>
        <v>0</v>
      </c>
      <c r="S48">
        <f>IF(P48=0,0,IF(K48="Yes",1,IF(K48="No",-1,0)))</f>
        <v>0</v>
      </c>
      <c r="T48">
        <f>IF(P48=0,0,IF(L48&lt;&gt;"None",-1,0))</f>
        <v>0</v>
      </c>
      <c r="U48" t="str">
        <f>IF(P48=0,"",Q48+R48+S48+T48)</f>
        <v/>
      </c>
      <c r="V48" t="str">
        <f>IF(P48=0,"",IF(U48&gt;=3,"Probable",IF(U48&gt;=1,"Possible","Unlikely")))</f>
        <v/>
      </c>
    </row>
    <row r="49" spans="1:22" x14ac:dyDescent="0.25">
      <c r="A49" s="2" t="s">
        <v>132</v>
      </c>
      <c r="B49" s="2">
        <v>35</v>
      </c>
      <c r="C49" s="2" t="s">
        <v>14</v>
      </c>
      <c r="D49" s="2" t="s">
        <v>30</v>
      </c>
      <c r="E49" s="2" t="s">
        <v>31</v>
      </c>
      <c r="F49" s="2">
        <v>10</v>
      </c>
      <c r="G49" s="3">
        <v>45699</v>
      </c>
      <c r="H49" s="2" t="s">
        <v>17</v>
      </c>
      <c r="I49" s="3"/>
      <c r="J49" s="2" t="s">
        <v>17</v>
      </c>
      <c r="K49" s="2" t="s">
        <v>18</v>
      </c>
      <c r="L49" s="2" t="s">
        <v>28</v>
      </c>
      <c r="M49" s="2" t="s">
        <v>19</v>
      </c>
      <c r="N49" t="str">
        <f>IF(H49="None","",I49-G49)</f>
        <v/>
      </c>
      <c r="O49" t="str">
        <f>IF(B49&lt;18,"Under 18",IF(B49&lt;40,"18 to 39",IF(B49&lt;60,"40 to 59","60 and above")))</f>
        <v>18 to 39</v>
      </c>
      <c r="P49">
        <f>IF(H49="None",0,1)</f>
        <v>0</v>
      </c>
      <c r="Q49">
        <f>IF(P49=0,0,IF(COUNTIFS(Known_ADRs!$A$2:$A$31,D49,Known_ADRs!$B$2:$B$31,H49)&gt;0,1,0))</f>
        <v>0</v>
      </c>
      <c r="R49">
        <f>IF(P49=0,0,IF(N49&gt;0,2,0))</f>
        <v>0</v>
      </c>
      <c r="S49">
        <f>IF(P49=0,0,IF(K49="Yes",1,IF(K49="No",-1,0)))</f>
        <v>0</v>
      </c>
      <c r="T49">
        <f>IF(P49=0,0,IF(L49&lt;&gt;"None",-1,0))</f>
        <v>0</v>
      </c>
      <c r="U49" t="str">
        <f>IF(P49=0,"",Q49+R49+S49+T49)</f>
        <v/>
      </c>
      <c r="V49" t="str">
        <f>IF(P49=0,"",IF(U49&gt;=3,"Probable",IF(U49&gt;=1,"Possible","Unlikely")))</f>
        <v/>
      </c>
    </row>
    <row r="50" spans="1:22" x14ac:dyDescent="0.25">
      <c r="A50" s="2" t="s">
        <v>133</v>
      </c>
      <c r="B50" s="2">
        <v>43</v>
      </c>
      <c r="C50" s="2" t="s">
        <v>24</v>
      </c>
      <c r="D50" s="2" t="s">
        <v>15</v>
      </c>
      <c r="E50" s="2" t="s">
        <v>16</v>
      </c>
      <c r="F50" s="2">
        <v>20</v>
      </c>
      <c r="G50" s="3">
        <v>45797</v>
      </c>
      <c r="H50" s="2" t="s">
        <v>17</v>
      </c>
      <c r="I50" s="3"/>
      <c r="J50" s="2" t="s">
        <v>17</v>
      </c>
      <c r="K50" s="2" t="s">
        <v>18</v>
      </c>
      <c r="L50" s="2" t="s">
        <v>17</v>
      </c>
      <c r="M50" s="2" t="s">
        <v>19</v>
      </c>
      <c r="N50" t="str">
        <f>IF(H50="None","",I50-G50)</f>
        <v/>
      </c>
      <c r="O50" t="str">
        <f>IF(B50&lt;18,"Under 18",IF(B50&lt;40,"18 to 39",IF(B50&lt;60,"40 to 59","60 and above")))</f>
        <v>40 to 59</v>
      </c>
      <c r="P50">
        <f>IF(H50="None",0,1)</f>
        <v>0</v>
      </c>
      <c r="Q50">
        <f>IF(P50=0,0,IF(COUNTIFS(Known_ADRs!$A$2:$A$31,D50,Known_ADRs!$B$2:$B$31,H50)&gt;0,1,0))</f>
        <v>0</v>
      </c>
      <c r="R50">
        <f>IF(P50=0,0,IF(N50&gt;0,2,0))</f>
        <v>0</v>
      </c>
      <c r="S50">
        <f>IF(P50=0,0,IF(K50="Yes",1,IF(K50="No",-1,0)))</f>
        <v>0</v>
      </c>
      <c r="T50">
        <f>IF(P50=0,0,IF(L50&lt;&gt;"None",-1,0))</f>
        <v>0</v>
      </c>
      <c r="U50" t="str">
        <f>IF(P50=0,"",Q50+R50+S50+T50)</f>
        <v/>
      </c>
      <c r="V50" t="str">
        <f>IF(P50=0,"",IF(U50&gt;=3,"Probable",IF(U50&gt;=1,"Possible","Unlikely")))</f>
        <v/>
      </c>
    </row>
    <row r="51" spans="1:22" x14ac:dyDescent="0.25">
      <c r="A51" s="2" t="s">
        <v>137</v>
      </c>
      <c r="B51" s="2">
        <v>39</v>
      </c>
      <c r="C51" s="2" t="s">
        <v>24</v>
      </c>
      <c r="D51" s="2" t="s">
        <v>41</v>
      </c>
      <c r="E51" s="2" t="s">
        <v>42</v>
      </c>
      <c r="F51" s="2">
        <v>650</v>
      </c>
      <c r="G51" s="3">
        <v>45747</v>
      </c>
      <c r="H51" s="2" t="s">
        <v>17</v>
      </c>
      <c r="I51" s="3"/>
      <c r="J51" s="2" t="s">
        <v>17</v>
      </c>
      <c r="K51" s="2" t="s">
        <v>18</v>
      </c>
      <c r="L51" s="2" t="s">
        <v>53</v>
      </c>
      <c r="M51" s="2" t="s">
        <v>19</v>
      </c>
      <c r="N51" t="str">
        <f>IF(H51="None","",I51-G51)</f>
        <v/>
      </c>
      <c r="O51" t="str">
        <f>IF(B51&lt;18,"Under 18",IF(B51&lt;40,"18 to 39",IF(B51&lt;60,"40 to 59","60 and above")))</f>
        <v>18 to 39</v>
      </c>
      <c r="P51">
        <f>IF(H51="None",0,1)</f>
        <v>0</v>
      </c>
      <c r="Q51">
        <f>IF(P51=0,0,IF(COUNTIFS(Known_ADRs!$A$2:$A$31,D51,Known_ADRs!$B$2:$B$31,H51)&gt;0,1,0))</f>
        <v>0</v>
      </c>
      <c r="R51">
        <f>IF(P51=0,0,IF(N51&gt;0,2,0))</f>
        <v>0</v>
      </c>
      <c r="S51">
        <f>IF(P51=0,0,IF(K51="Yes",1,IF(K51="No",-1,0)))</f>
        <v>0</v>
      </c>
      <c r="T51">
        <f>IF(P51=0,0,IF(L51&lt;&gt;"None",-1,0))</f>
        <v>0</v>
      </c>
      <c r="U51" t="str">
        <f>IF(P51=0,"",Q51+R51+S51+T51)</f>
        <v/>
      </c>
      <c r="V51" t="str">
        <f>IF(P51=0,"",IF(U51&gt;=3,"Probable",IF(U51&gt;=1,"Possible","Unlikely")))</f>
        <v/>
      </c>
    </row>
    <row r="52" spans="1:22" x14ac:dyDescent="0.25">
      <c r="A52" s="2" t="s">
        <v>138</v>
      </c>
      <c r="B52" s="2">
        <v>60</v>
      </c>
      <c r="C52" s="2" t="s">
        <v>24</v>
      </c>
      <c r="D52" s="2" t="s">
        <v>21</v>
      </c>
      <c r="E52" s="2" t="s">
        <v>22</v>
      </c>
      <c r="F52" s="2">
        <v>1000</v>
      </c>
      <c r="G52" s="3">
        <v>45897</v>
      </c>
      <c r="H52" s="2" t="s">
        <v>17</v>
      </c>
      <c r="I52" s="3"/>
      <c r="J52" s="2" t="s">
        <v>17</v>
      </c>
      <c r="K52" s="2" t="s">
        <v>18</v>
      </c>
      <c r="L52" s="2" t="s">
        <v>53</v>
      </c>
      <c r="M52" s="2" t="s">
        <v>19</v>
      </c>
      <c r="N52" t="str">
        <f>IF(H52="None","",I52-G52)</f>
        <v/>
      </c>
      <c r="O52" t="str">
        <f>IF(B52&lt;18,"Under 18",IF(B52&lt;40,"18 to 39",IF(B52&lt;60,"40 to 59","60 and above")))</f>
        <v>60 and above</v>
      </c>
      <c r="P52">
        <f>IF(H52="None",0,1)</f>
        <v>0</v>
      </c>
      <c r="Q52">
        <f>IF(P52=0,0,IF(COUNTIFS(Known_ADRs!$A$2:$A$31,D52,Known_ADRs!$B$2:$B$31,H52)&gt;0,1,0))</f>
        <v>0</v>
      </c>
      <c r="R52">
        <f>IF(P52=0,0,IF(N52&gt;0,2,0))</f>
        <v>0</v>
      </c>
      <c r="S52">
        <f>IF(P52=0,0,IF(K52="Yes",1,IF(K52="No",-1,0)))</f>
        <v>0</v>
      </c>
      <c r="T52">
        <f>IF(P52=0,0,IF(L52&lt;&gt;"None",-1,0))</f>
        <v>0</v>
      </c>
      <c r="U52" t="str">
        <f>IF(P52=0,"",Q52+R52+S52+T52)</f>
        <v/>
      </c>
      <c r="V52" t="str">
        <f>IF(P52=0,"",IF(U52&gt;=3,"Probable",IF(U52&gt;=1,"Possible","Unlikely")))</f>
        <v/>
      </c>
    </row>
    <row r="53" spans="1:22" x14ac:dyDescent="0.25">
      <c r="A53" s="2" t="s">
        <v>139</v>
      </c>
      <c r="B53" s="2">
        <v>28</v>
      </c>
      <c r="C53" s="2" t="s">
        <v>14</v>
      </c>
      <c r="D53" s="2" t="s">
        <v>26</v>
      </c>
      <c r="E53" s="2" t="s">
        <v>27</v>
      </c>
      <c r="F53" s="2">
        <v>5</v>
      </c>
      <c r="G53" s="3">
        <v>45717</v>
      </c>
      <c r="H53" s="2" t="s">
        <v>17</v>
      </c>
      <c r="I53" s="3"/>
      <c r="J53" s="2" t="s">
        <v>17</v>
      </c>
      <c r="K53" s="2" t="s">
        <v>18</v>
      </c>
      <c r="L53" s="2" t="s">
        <v>17</v>
      </c>
      <c r="M53" s="2" t="s">
        <v>19</v>
      </c>
      <c r="N53" t="str">
        <f>IF(H53="None","",I53-G53)</f>
        <v/>
      </c>
      <c r="O53" t="str">
        <f>IF(B53&lt;18,"Under 18",IF(B53&lt;40,"18 to 39",IF(B53&lt;60,"40 to 59","60 and above")))</f>
        <v>18 to 39</v>
      </c>
      <c r="P53">
        <f>IF(H53="None",0,1)</f>
        <v>0</v>
      </c>
      <c r="Q53">
        <f>IF(P53=0,0,IF(COUNTIFS(Known_ADRs!$A$2:$A$31,D53,Known_ADRs!$B$2:$B$31,H53)&gt;0,1,0))</f>
        <v>0</v>
      </c>
      <c r="R53">
        <f>IF(P53=0,0,IF(N53&gt;0,2,0))</f>
        <v>0</v>
      </c>
      <c r="S53">
        <f>IF(P53=0,0,IF(K53="Yes",1,IF(K53="No",-1,0)))</f>
        <v>0</v>
      </c>
      <c r="T53">
        <f>IF(P53=0,0,IF(L53&lt;&gt;"None",-1,0))</f>
        <v>0</v>
      </c>
      <c r="U53" t="str">
        <f>IF(P53=0,"",Q53+R53+S53+T53)</f>
        <v/>
      </c>
      <c r="V53" t="str">
        <f>IF(P53=0,"",IF(U53&gt;=3,"Probable",IF(U53&gt;=1,"Possible","Unlikely")))</f>
        <v/>
      </c>
    </row>
    <row r="54" spans="1:22" x14ac:dyDescent="0.25">
      <c r="A54" s="2" t="s">
        <v>140</v>
      </c>
      <c r="B54" s="2">
        <v>67</v>
      </c>
      <c r="C54" s="2" t="s">
        <v>14</v>
      </c>
      <c r="D54" s="2" t="s">
        <v>71</v>
      </c>
      <c r="E54" s="2" t="s">
        <v>72</v>
      </c>
      <c r="F54" s="2">
        <v>5</v>
      </c>
      <c r="G54" s="3">
        <v>45741</v>
      </c>
      <c r="H54" s="2" t="s">
        <v>17</v>
      </c>
      <c r="I54" s="3"/>
      <c r="J54" s="2" t="s">
        <v>17</v>
      </c>
      <c r="K54" s="2" t="s">
        <v>18</v>
      </c>
      <c r="L54" s="2" t="s">
        <v>17</v>
      </c>
      <c r="M54" s="2" t="s">
        <v>19</v>
      </c>
      <c r="N54" t="str">
        <f>IF(H54="None","",I54-G54)</f>
        <v/>
      </c>
      <c r="O54" t="str">
        <f>IF(B54&lt;18,"Under 18",IF(B54&lt;40,"18 to 39",IF(B54&lt;60,"40 to 59","60 and above")))</f>
        <v>60 and above</v>
      </c>
      <c r="P54">
        <f>IF(H54="None",0,1)</f>
        <v>0</v>
      </c>
      <c r="Q54">
        <f>IF(P54=0,0,IF(COUNTIFS(Known_ADRs!$A$2:$A$31,D54,Known_ADRs!$B$2:$B$31,H54)&gt;0,1,0))</f>
        <v>0</v>
      </c>
      <c r="R54">
        <f>IF(P54=0,0,IF(N54&gt;0,2,0))</f>
        <v>0</v>
      </c>
      <c r="S54">
        <f>IF(P54=0,0,IF(K54="Yes",1,IF(K54="No",-1,0)))</f>
        <v>0</v>
      </c>
      <c r="T54">
        <f>IF(P54=0,0,IF(L54&lt;&gt;"None",-1,0))</f>
        <v>0</v>
      </c>
      <c r="U54" t="str">
        <f>IF(P54=0,"",Q54+R54+S54+T54)</f>
        <v/>
      </c>
      <c r="V54" t="str">
        <f>IF(P54=0,"",IF(U54&gt;=3,"Probable",IF(U54&gt;=1,"Possible","Unlikely")))</f>
        <v/>
      </c>
    </row>
    <row r="55" spans="1:22" x14ac:dyDescent="0.25">
      <c r="A55" s="2" t="s">
        <v>142</v>
      </c>
      <c r="B55" s="2">
        <v>61</v>
      </c>
      <c r="C55" s="2" t="s">
        <v>14</v>
      </c>
      <c r="D55" s="2" t="s">
        <v>44</v>
      </c>
      <c r="E55" s="2" t="s">
        <v>45</v>
      </c>
      <c r="F55" s="2">
        <v>100</v>
      </c>
      <c r="G55" s="3">
        <v>45681</v>
      </c>
      <c r="H55" s="2" t="s">
        <v>17</v>
      </c>
      <c r="I55" s="3"/>
      <c r="J55" s="2" t="s">
        <v>17</v>
      </c>
      <c r="K55" s="2" t="s">
        <v>18</v>
      </c>
      <c r="L55" s="2" t="s">
        <v>17</v>
      </c>
      <c r="M55" s="2" t="s">
        <v>19</v>
      </c>
      <c r="N55" t="str">
        <f>IF(H55="None","",I55-G55)</f>
        <v/>
      </c>
      <c r="O55" t="str">
        <f>IF(B55&lt;18,"Under 18",IF(B55&lt;40,"18 to 39",IF(B55&lt;60,"40 to 59","60 and above")))</f>
        <v>60 and above</v>
      </c>
      <c r="P55">
        <f>IF(H55="None",0,1)</f>
        <v>0</v>
      </c>
      <c r="Q55">
        <f>IF(P55=0,0,IF(COUNTIFS(Known_ADRs!$A$2:$A$31,D55,Known_ADRs!$B$2:$B$31,H55)&gt;0,1,0))</f>
        <v>0</v>
      </c>
      <c r="R55">
        <f>IF(P55=0,0,IF(N55&gt;0,2,0))</f>
        <v>0</v>
      </c>
      <c r="S55">
        <f>IF(P55=0,0,IF(K55="Yes",1,IF(K55="No",-1,0)))</f>
        <v>0</v>
      </c>
      <c r="T55">
        <f>IF(P55=0,0,IF(L55&lt;&gt;"None",-1,0))</f>
        <v>0</v>
      </c>
      <c r="U55" t="str">
        <f>IF(P55=0,"",Q55+R55+S55+T55)</f>
        <v/>
      </c>
      <c r="V55" t="str">
        <f>IF(P55=0,"",IF(U55&gt;=3,"Probable",IF(U55&gt;=1,"Possible","Unlikely")))</f>
        <v/>
      </c>
    </row>
    <row r="56" spans="1:22" x14ac:dyDescent="0.25">
      <c r="A56" s="2" t="s">
        <v>59</v>
      </c>
      <c r="B56" s="2">
        <v>24</v>
      </c>
      <c r="C56" s="2" t="s">
        <v>14</v>
      </c>
      <c r="D56" s="2" t="s">
        <v>21</v>
      </c>
      <c r="E56" s="2" t="s">
        <v>22</v>
      </c>
      <c r="F56" s="2">
        <v>1000</v>
      </c>
      <c r="G56" s="3">
        <v>45906</v>
      </c>
      <c r="H56" s="2" t="s">
        <v>60</v>
      </c>
      <c r="I56" s="3">
        <v>45926</v>
      </c>
      <c r="J56" s="2" t="s">
        <v>33</v>
      </c>
      <c r="K56" s="2" t="s">
        <v>34</v>
      </c>
      <c r="L56" s="2" t="s">
        <v>17</v>
      </c>
      <c r="M56" s="2" t="s">
        <v>36</v>
      </c>
      <c r="N56">
        <f>IF(H56="None","",I56-G56)</f>
        <v>20</v>
      </c>
      <c r="O56" t="str">
        <f>IF(B56&lt;18,"Under 18",IF(B56&lt;40,"18 to 39",IF(B56&lt;60,"40 to 59","60 and above")))</f>
        <v>18 to 39</v>
      </c>
      <c r="P56">
        <f>IF(H56="None",0,1)</f>
        <v>1</v>
      </c>
      <c r="Q56">
        <f>IF(P56=0,0,IF(COUNTIFS(Known_ADRs!$A$2:$A$31,D56,Known_ADRs!$B$2:$B$31,H56)&gt;0,1,0))</f>
        <v>1</v>
      </c>
      <c r="R56">
        <f>IF(P56=0,0,IF(N56&gt;0,2,0))</f>
        <v>2</v>
      </c>
      <c r="S56">
        <f>IF(P56=0,0,IF(K56="Yes",1,IF(K56="No",-1,0)))</f>
        <v>1</v>
      </c>
      <c r="T56">
        <f>IF(P56=0,0,IF(L56&lt;&gt;"None",-1,0))</f>
        <v>0</v>
      </c>
      <c r="U56">
        <f>IF(P56=0,"",Q56+R56+S56+T56)</f>
        <v>4</v>
      </c>
      <c r="V56" t="str">
        <f>IF(P56=0,"",IF(U56&gt;=3,"Probable",IF(U56&gt;=1,"Possible","Unlikely")))</f>
        <v>Probable</v>
      </c>
    </row>
    <row r="57" spans="1:22" x14ac:dyDescent="0.25">
      <c r="A57" s="2" t="s">
        <v>62</v>
      </c>
      <c r="B57" s="2">
        <v>65</v>
      </c>
      <c r="C57" s="2" t="s">
        <v>24</v>
      </c>
      <c r="D57" s="2" t="s">
        <v>63</v>
      </c>
      <c r="E57" s="2" t="s">
        <v>64</v>
      </c>
      <c r="F57" s="2">
        <v>500</v>
      </c>
      <c r="G57" s="3">
        <v>45793</v>
      </c>
      <c r="H57" s="2" t="s">
        <v>65</v>
      </c>
      <c r="I57" s="3">
        <v>45798</v>
      </c>
      <c r="J57" s="2" t="s">
        <v>33</v>
      </c>
      <c r="K57" s="2" t="s">
        <v>34</v>
      </c>
      <c r="L57" s="2" t="s">
        <v>17</v>
      </c>
      <c r="M57" s="2" t="s">
        <v>66</v>
      </c>
      <c r="N57">
        <f>IF(H57="None","",I57-G57)</f>
        <v>5</v>
      </c>
      <c r="O57" t="str">
        <f>IF(B57&lt;18,"Under 18",IF(B57&lt;40,"18 to 39",IF(B57&lt;60,"40 to 59","60 and above")))</f>
        <v>60 and above</v>
      </c>
      <c r="P57">
        <f>IF(H57="None",0,1)</f>
        <v>1</v>
      </c>
      <c r="Q57">
        <f>IF(P57=0,0,IF(COUNTIFS(Known_ADRs!$A$2:$A$31,D57,Known_ADRs!$B$2:$B$31,H57)&gt;0,1,0))</f>
        <v>1</v>
      </c>
      <c r="R57">
        <f>IF(P57=0,0,IF(N57&gt;0,2,0))</f>
        <v>2</v>
      </c>
      <c r="S57">
        <f>IF(P57=0,0,IF(K57="Yes",1,IF(K57="No",-1,0)))</f>
        <v>1</v>
      </c>
      <c r="T57">
        <f>IF(P57=0,0,IF(L57&lt;&gt;"None",-1,0))</f>
        <v>0</v>
      </c>
      <c r="U57">
        <f>IF(P57=0,"",Q57+R57+S57+T57)</f>
        <v>4</v>
      </c>
      <c r="V57" t="str">
        <f>IF(P57=0,"",IF(U57&gt;=3,"Probable",IF(U57&gt;=1,"Possible","Unlikely")))</f>
        <v>Probable</v>
      </c>
    </row>
    <row r="58" spans="1:22" x14ac:dyDescent="0.25">
      <c r="A58" s="2" t="s">
        <v>76</v>
      </c>
      <c r="B58" s="2">
        <v>15</v>
      </c>
      <c r="C58" s="2" t="s">
        <v>24</v>
      </c>
      <c r="D58" s="2" t="s">
        <v>26</v>
      </c>
      <c r="E58" s="2" t="s">
        <v>27</v>
      </c>
      <c r="F58" s="2">
        <v>5</v>
      </c>
      <c r="G58" s="3">
        <v>45792</v>
      </c>
      <c r="H58" s="2" t="s">
        <v>77</v>
      </c>
      <c r="I58" s="3">
        <v>45826</v>
      </c>
      <c r="J58" s="2" t="s">
        <v>33</v>
      </c>
      <c r="K58" s="2" t="s">
        <v>34</v>
      </c>
      <c r="L58" s="2" t="s">
        <v>17</v>
      </c>
      <c r="M58" s="2" t="s">
        <v>78</v>
      </c>
      <c r="N58">
        <f>IF(H58="None","",I58-G58)</f>
        <v>34</v>
      </c>
      <c r="O58" t="str">
        <f>IF(B58&lt;18,"Under 18",IF(B58&lt;40,"18 to 39",IF(B58&lt;60,"40 to 59","60 and above")))</f>
        <v>Under 18</v>
      </c>
      <c r="P58">
        <f>IF(H58="None",0,1)</f>
        <v>1</v>
      </c>
      <c r="Q58">
        <f>IF(P58=0,0,IF(COUNTIFS(Known_ADRs!$A$2:$A$31,D58,Known_ADRs!$B$2:$B$31,H58)&gt;0,1,0))</f>
        <v>1</v>
      </c>
      <c r="R58">
        <f>IF(P58=0,0,IF(N58&gt;0,2,0))</f>
        <v>2</v>
      </c>
      <c r="S58">
        <f>IF(P58=0,0,IF(K58="Yes",1,IF(K58="No",-1,0)))</f>
        <v>1</v>
      </c>
      <c r="T58">
        <f>IF(P58=0,0,IF(L58&lt;&gt;"None",-1,0))</f>
        <v>0</v>
      </c>
      <c r="U58">
        <f>IF(P58=0,"",Q58+R58+S58+T58)</f>
        <v>4</v>
      </c>
      <c r="V58" t="str">
        <f>IF(P58=0,"",IF(U58&gt;=3,"Probable",IF(U58&gt;=1,"Possible","Unlikely")))</f>
        <v>Probable</v>
      </c>
    </row>
    <row r="59" spans="1:22" x14ac:dyDescent="0.25">
      <c r="A59" s="2" t="s">
        <v>96</v>
      </c>
      <c r="B59" s="2">
        <v>55</v>
      </c>
      <c r="C59" s="2" t="s">
        <v>24</v>
      </c>
      <c r="D59" s="2" t="s">
        <v>30</v>
      </c>
      <c r="E59" s="2" t="s">
        <v>31</v>
      </c>
      <c r="F59" s="2">
        <v>10</v>
      </c>
      <c r="G59" s="3">
        <v>45818</v>
      </c>
      <c r="H59" s="2" t="s">
        <v>32</v>
      </c>
      <c r="I59" s="3">
        <v>45867</v>
      </c>
      <c r="J59" s="2" t="s">
        <v>89</v>
      </c>
      <c r="K59" s="2" t="s">
        <v>34</v>
      </c>
      <c r="L59" s="2" t="s">
        <v>17</v>
      </c>
      <c r="M59" s="2" t="s">
        <v>78</v>
      </c>
      <c r="N59">
        <f>IF(H59="None","",I59-G59)</f>
        <v>49</v>
      </c>
      <c r="O59" t="str">
        <f>IF(B59&lt;18,"Under 18",IF(B59&lt;40,"18 to 39",IF(B59&lt;60,"40 to 59","60 and above")))</f>
        <v>40 to 59</v>
      </c>
      <c r="P59">
        <f>IF(H59="None",0,1)</f>
        <v>1</v>
      </c>
      <c r="Q59">
        <f>IF(P59=0,0,IF(COUNTIFS(Known_ADRs!$A$2:$A$31,D59,Known_ADRs!$B$2:$B$31,H59)&gt;0,1,0))</f>
        <v>1</v>
      </c>
      <c r="R59">
        <f>IF(P59=0,0,IF(N59&gt;0,2,0))</f>
        <v>2</v>
      </c>
      <c r="S59">
        <f>IF(P59=0,0,IF(K59="Yes",1,IF(K59="No",-1,0)))</f>
        <v>1</v>
      </c>
      <c r="T59">
        <f>IF(P59=0,0,IF(L59&lt;&gt;"None",-1,0))</f>
        <v>0</v>
      </c>
      <c r="U59">
        <f>IF(P59=0,"",Q59+R59+S59+T59)</f>
        <v>4</v>
      </c>
      <c r="V59" t="str">
        <f>IF(P59=0,"",IF(U59&gt;=3,"Probable",IF(U59&gt;=1,"Possible","Unlikely")))</f>
        <v>Probable</v>
      </c>
    </row>
    <row r="60" spans="1:22" x14ac:dyDescent="0.25">
      <c r="A60" s="2" t="s">
        <v>103</v>
      </c>
      <c r="B60" s="2">
        <v>23</v>
      </c>
      <c r="C60" s="2" t="s">
        <v>14</v>
      </c>
      <c r="D60" s="2" t="s">
        <v>30</v>
      </c>
      <c r="E60" s="2" t="s">
        <v>31</v>
      </c>
      <c r="F60" s="2">
        <v>10</v>
      </c>
      <c r="G60" s="3">
        <v>45864</v>
      </c>
      <c r="H60" s="2" t="s">
        <v>104</v>
      </c>
      <c r="I60" s="3">
        <v>45886</v>
      </c>
      <c r="J60" s="2" t="s">
        <v>33</v>
      </c>
      <c r="K60" s="2" t="s">
        <v>34</v>
      </c>
      <c r="L60" s="2" t="s">
        <v>17</v>
      </c>
      <c r="M60" s="2" t="s">
        <v>36</v>
      </c>
      <c r="N60">
        <f>IF(H60="None","",I60-G60)</f>
        <v>22</v>
      </c>
      <c r="O60" t="str">
        <f>IF(B60&lt;18,"Under 18",IF(B60&lt;40,"18 to 39",IF(B60&lt;60,"40 to 59","60 and above")))</f>
        <v>18 to 39</v>
      </c>
      <c r="P60">
        <f>IF(H60="None",0,1)</f>
        <v>1</v>
      </c>
      <c r="Q60">
        <f>IF(P60=0,0,IF(COUNTIFS(Known_ADRs!$A$2:$A$31,D60,Known_ADRs!$B$2:$B$31,H60)&gt;0,1,0))</f>
        <v>1</v>
      </c>
      <c r="R60">
        <f>IF(P60=0,0,IF(N60&gt;0,2,0))</f>
        <v>2</v>
      </c>
      <c r="S60">
        <f>IF(P60=0,0,IF(K60="Yes",1,IF(K60="No",-1,0)))</f>
        <v>1</v>
      </c>
      <c r="T60">
        <f>IF(P60=0,0,IF(L60&lt;&gt;"None",-1,0))</f>
        <v>0</v>
      </c>
      <c r="U60">
        <f>IF(P60=0,"",Q60+R60+S60+T60)</f>
        <v>4</v>
      </c>
      <c r="V60" t="str">
        <f>IF(P60=0,"",IF(U60&gt;=3,"Probable",IF(U60&gt;=1,"Possible","Unlikely")))</f>
        <v>Probable</v>
      </c>
    </row>
    <row r="61" spans="1:22" x14ac:dyDescent="0.25">
      <c r="A61" s="2" t="s">
        <v>105</v>
      </c>
      <c r="B61" s="2">
        <v>52</v>
      </c>
      <c r="C61" s="2" t="s">
        <v>14</v>
      </c>
      <c r="D61" s="2" t="s">
        <v>44</v>
      </c>
      <c r="E61" s="2" t="s">
        <v>45</v>
      </c>
      <c r="F61" s="2">
        <v>100</v>
      </c>
      <c r="G61" s="3">
        <v>45709</v>
      </c>
      <c r="H61" s="2" t="s">
        <v>75</v>
      </c>
      <c r="I61" s="3">
        <v>45738</v>
      </c>
      <c r="J61" s="2" t="s">
        <v>33</v>
      </c>
      <c r="K61" s="2" t="s">
        <v>34</v>
      </c>
      <c r="L61" s="2" t="s">
        <v>17</v>
      </c>
      <c r="M61" s="2" t="s">
        <v>36</v>
      </c>
      <c r="N61">
        <f>IF(H61="None","",I61-G61)</f>
        <v>29</v>
      </c>
      <c r="O61" t="str">
        <f>IF(B61&lt;18,"Under 18",IF(B61&lt;40,"18 to 39",IF(B61&lt;60,"40 to 59","60 and above")))</f>
        <v>40 to 59</v>
      </c>
      <c r="P61">
        <f>IF(H61="None",0,1)</f>
        <v>1</v>
      </c>
      <c r="Q61">
        <f>IF(P61=0,0,IF(COUNTIFS(Known_ADRs!$A$2:$A$31,D61,Known_ADRs!$B$2:$B$31,H61)&gt;0,1,0))</f>
        <v>1</v>
      </c>
      <c r="R61">
        <f>IF(P61=0,0,IF(N61&gt;0,2,0))</f>
        <v>2</v>
      </c>
      <c r="S61">
        <f>IF(P61=0,0,IF(K61="Yes",1,IF(K61="No",-1,0)))</f>
        <v>1</v>
      </c>
      <c r="T61">
        <f>IF(P61=0,0,IF(L61&lt;&gt;"None",-1,0))</f>
        <v>0</v>
      </c>
      <c r="U61">
        <f>IF(P61=0,"",Q61+R61+S61+T61)</f>
        <v>4</v>
      </c>
      <c r="V61" t="str">
        <f>IF(P61=0,"",IF(U61&gt;=3,"Probable",IF(U61&gt;=1,"Possible","Unlikely")))</f>
        <v>Probable</v>
      </c>
    </row>
    <row r="62" spans="1:22" x14ac:dyDescent="0.25">
      <c r="A62" s="2" t="s">
        <v>108</v>
      </c>
      <c r="B62" s="2">
        <v>49</v>
      </c>
      <c r="C62" s="2" t="s">
        <v>14</v>
      </c>
      <c r="D62" s="2" t="s">
        <v>63</v>
      </c>
      <c r="E62" s="2" t="s">
        <v>64</v>
      </c>
      <c r="F62" s="2">
        <v>500</v>
      </c>
      <c r="G62" s="3">
        <v>45783</v>
      </c>
      <c r="H62" s="2" t="s">
        <v>109</v>
      </c>
      <c r="I62" s="3">
        <v>45789</v>
      </c>
      <c r="J62" s="2" t="s">
        <v>89</v>
      </c>
      <c r="K62" s="2" t="s">
        <v>34</v>
      </c>
      <c r="L62" s="2" t="s">
        <v>17</v>
      </c>
      <c r="M62" s="2" t="s">
        <v>36</v>
      </c>
      <c r="N62">
        <f>IF(H62="None","",I62-G62)</f>
        <v>6</v>
      </c>
      <c r="O62" t="str">
        <f>IF(B62&lt;18,"Under 18",IF(B62&lt;40,"18 to 39",IF(B62&lt;60,"40 to 59","60 and above")))</f>
        <v>40 to 59</v>
      </c>
      <c r="P62">
        <f>IF(H62="None",0,1)</f>
        <v>1</v>
      </c>
      <c r="Q62">
        <f>IF(P62=0,0,IF(COUNTIFS(Known_ADRs!$A$2:$A$31,D62,Known_ADRs!$B$2:$B$31,H62)&gt;0,1,0))</f>
        <v>1</v>
      </c>
      <c r="R62">
        <f>IF(P62=0,0,IF(N62&gt;0,2,0))</f>
        <v>2</v>
      </c>
      <c r="S62">
        <f>IF(P62=0,0,IF(K62="Yes",1,IF(K62="No",-1,0)))</f>
        <v>1</v>
      </c>
      <c r="T62">
        <f>IF(P62=0,0,IF(L62&lt;&gt;"None",-1,0))</f>
        <v>0</v>
      </c>
      <c r="U62">
        <f>IF(P62=0,"",Q62+R62+S62+T62)</f>
        <v>4</v>
      </c>
      <c r="V62" t="str">
        <f>IF(P62=0,"",IF(U62&gt;=3,"Probable",IF(U62&gt;=1,"Possible","Unlikely")))</f>
        <v>Probable</v>
      </c>
    </row>
    <row r="63" spans="1:22" x14ac:dyDescent="0.25">
      <c r="A63" s="2" t="s">
        <v>131</v>
      </c>
      <c r="B63" s="2">
        <v>29</v>
      </c>
      <c r="C63" s="2" t="s">
        <v>24</v>
      </c>
      <c r="D63" s="2" t="s">
        <v>71</v>
      </c>
      <c r="E63" s="2" t="s">
        <v>72</v>
      </c>
      <c r="F63" s="2">
        <v>5</v>
      </c>
      <c r="G63" s="3">
        <v>45793</v>
      </c>
      <c r="H63" s="2" t="s">
        <v>73</v>
      </c>
      <c r="I63" s="3">
        <v>45820</v>
      </c>
      <c r="J63" s="2" t="s">
        <v>89</v>
      </c>
      <c r="K63" s="2" t="s">
        <v>34</v>
      </c>
      <c r="L63" s="2" t="s">
        <v>17</v>
      </c>
      <c r="M63" s="2" t="s">
        <v>66</v>
      </c>
      <c r="N63">
        <f>IF(H63="None","",I63-G63)</f>
        <v>27</v>
      </c>
      <c r="O63" t="str">
        <f>IF(B63&lt;18,"Under 18",IF(B63&lt;40,"18 to 39",IF(B63&lt;60,"40 to 59","60 and above")))</f>
        <v>18 to 39</v>
      </c>
      <c r="P63">
        <f>IF(H63="None",0,1)</f>
        <v>1</v>
      </c>
      <c r="Q63">
        <f>IF(P63=0,0,IF(COUNTIFS(Known_ADRs!$A$2:$A$31,D63,Known_ADRs!$B$2:$B$31,H63)&gt;0,1,0))</f>
        <v>1</v>
      </c>
      <c r="R63">
        <f>IF(P63=0,0,IF(N63&gt;0,2,0))</f>
        <v>2</v>
      </c>
      <c r="S63">
        <f>IF(P63=0,0,IF(K63="Yes",1,IF(K63="No",-1,0)))</f>
        <v>1</v>
      </c>
      <c r="T63">
        <f>IF(P63=0,0,IF(L63&lt;&gt;"None",-1,0))</f>
        <v>0</v>
      </c>
      <c r="U63">
        <f>IF(P63=0,"",Q63+R63+S63+T63)</f>
        <v>4</v>
      </c>
      <c r="V63" t="str">
        <f>IF(P63=0,"",IF(U63&gt;=3,"Probable",IF(U63&gt;=1,"Possible","Unlikely")))</f>
        <v>Probable</v>
      </c>
    </row>
    <row r="64" spans="1:22" x14ac:dyDescent="0.25">
      <c r="A64" s="2" t="s">
        <v>143</v>
      </c>
      <c r="B64" s="2">
        <v>72</v>
      </c>
      <c r="C64" s="2" t="s">
        <v>14</v>
      </c>
      <c r="D64" s="2" t="s">
        <v>38</v>
      </c>
      <c r="E64" s="2" t="s">
        <v>39</v>
      </c>
      <c r="F64" s="2">
        <v>20</v>
      </c>
      <c r="G64" s="3">
        <v>45773</v>
      </c>
      <c r="H64" s="2" t="s">
        <v>95</v>
      </c>
      <c r="I64" s="3">
        <v>45857</v>
      </c>
      <c r="J64" s="2" t="s">
        <v>33</v>
      </c>
      <c r="K64" s="2" t="s">
        <v>34</v>
      </c>
      <c r="L64" s="2" t="s">
        <v>17</v>
      </c>
      <c r="M64" s="2" t="s">
        <v>36</v>
      </c>
      <c r="N64">
        <f>IF(H64="None","",I64-G64)</f>
        <v>84</v>
      </c>
      <c r="O64" t="str">
        <f>IF(B64&lt;18,"Under 18",IF(B64&lt;40,"18 to 39",IF(B64&lt;60,"40 to 59","60 and above")))</f>
        <v>60 and above</v>
      </c>
      <c r="P64">
        <f>IF(H64="None",0,1)</f>
        <v>1</v>
      </c>
      <c r="Q64">
        <f>IF(P64=0,0,IF(COUNTIFS(Known_ADRs!$A$2:$A$31,D64,Known_ADRs!$B$2:$B$31,H64)&gt;0,1,0))</f>
        <v>1</v>
      </c>
      <c r="R64">
        <f>IF(P64=0,0,IF(N64&gt;0,2,0))</f>
        <v>2</v>
      </c>
      <c r="S64">
        <f>IF(P64=0,0,IF(K64="Yes",1,IF(K64="No",-1,0)))</f>
        <v>1</v>
      </c>
      <c r="T64">
        <f>IF(P64=0,0,IF(L64&lt;&gt;"None",-1,0))</f>
        <v>0</v>
      </c>
      <c r="U64">
        <f>IF(P64=0,"",Q64+R64+S64+T64)</f>
        <v>4</v>
      </c>
      <c r="V64" t="str">
        <f>IF(P64=0,"",IF(U64&gt;=3,"Probable",IF(U64&gt;=1,"Possible","Unlikely")))</f>
        <v>Probable</v>
      </c>
    </row>
    <row r="65" spans="1:22" x14ac:dyDescent="0.25">
      <c r="A65" s="2" t="s">
        <v>29</v>
      </c>
      <c r="B65" s="2">
        <v>24</v>
      </c>
      <c r="C65" s="2" t="s">
        <v>14</v>
      </c>
      <c r="D65" s="2" t="s">
        <v>30</v>
      </c>
      <c r="E65" s="2" t="s">
        <v>31</v>
      </c>
      <c r="F65" s="2">
        <v>10</v>
      </c>
      <c r="G65" s="3">
        <v>45709</v>
      </c>
      <c r="H65" s="2" t="s">
        <v>32</v>
      </c>
      <c r="I65" s="3">
        <v>45732</v>
      </c>
      <c r="J65" s="2" t="s">
        <v>33</v>
      </c>
      <c r="K65" s="2" t="s">
        <v>34</v>
      </c>
      <c r="L65" s="2" t="s">
        <v>35</v>
      </c>
      <c r="M65" s="2" t="s">
        <v>36</v>
      </c>
      <c r="N65">
        <f>IF(H65="None","",I65-G65)</f>
        <v>23</v>
      </c>
      <c r="O65" t="str">
        <f>IF(B65&lt;18,"Under 18",IF(B65&lt;40,"18 to 39",IF(B65&lt;60,"40 to 59","60 and above")))</f>
        <v>18 to 39</v>
      </c>
      <c r="P65">
        <f>IF(H65="None",0,1)</f>
        <v>1</v>
      </c>
      <c r="Q65">
        <f>IF(P65=0,0,IF(COUNTIFS(Known_ADRs!$A$2:$A$31,D65,Known_ADRs!$B$2:$B$31,H65)&gt;0,1,0))</f>
        <v>1</v>
      </c>
      <c r="R65">
        <f>IF(P65=0,0,IF(N65&gt;0,2,0))</f>
        <v>2</v>
      </c>
      <c r="S65">
        <f>IF(P65=0,0,IF(K65="Yes",1,IF(K65="No",-1,0)))</f>
        <v>1</v>
      </c>
      <c r="T65">
        <f>IF(P65=0,0,IF(L65&lt;&gt;"None",-1,0))</f>
        <v>-1</v>
      </c>
      <c r="U65">
        <f>IF(P65=0,"",Q65+R65+S65+T65)</f>
        <v>3</v>
      </c>
      <c r="V65" t="str">
        <f>IF(P65=0,"",IF(U65&gt;=3,"Probable",IF(U65&gt;=1,"Possible","Unlikely")))</f>
        <v>Probable</v>
      </c>
    </row>
    <row r="66" spans="1:22" x14ac:dyDescent="0.25">
      <c r="A66" s="2" t="s">
        <v>74</v>
      </c>
      <c r="B66" s="2">
        <v>15</v>
      </c>
      <c r="C66" s="2" t="s">
        <v>14</v>
      </c>
      <c r="D66" s="2" t="s">
        <v>44</v>
      </c>
      <c r="E66" s="2" t="s">
        <v>45</v>
      </c>
      <c r="F66" s="2">
        <v>100</v>
      </c>
      <c r="G66" s="3">
        <v>45832</v>
      </c>
      <c r="H66" s="2" t="s">
        <v>75</v>
      </c>
      <c r="I66" s="3">
        <v>45859</v>
      </c>
      <c r="J66" s="2" t="s">
        <v>33</v>
      </c>
      <c r="K66" s="2" t="s">
        <v>34</v>
      </c>
      <c r="L66" s="2" t="s">
        <v>53</v>
      </c>
      <c r="M66" s="2" t="s">
        <v>36</v>
      </c>
      <c r="N66">
        <f>IF(H66="None","",I66-G66)</f>
        <v>27</v>
      </c>
      <c r="O66" t="str">
        <f>IF(B66&lt;18,"Under 18",IF(B66&lt;40,"18 to 39",IF(B66&lt;60,"40 to 59","60 and above")))</f>
        <v>Under 18</v>
      </c>
      <c r="P66">
        <f>IF(H66="None",0,1)</f>
        <v>1</v>
      </c>
      <c r="Q66">
        <f>IF(P66=0,0,IF(COUNTIFS(Known_ADRs!$A$2:$A$31,D66,Known_ADRs!$B$2:$B$31,H66)&gt;0,1,0))</f>
        <v>1</v>
      </c>
      <c r="R66">
        <f>IF(P66=0,0,IF(N66&gt;0,2,0))</f>
        <v>2</v>
      </c>
      <c r="S66">
        <f>IF(P66=0,0,IF(K66="Yes",1,IF(K66="No",-1,0)))</f>
        <v>1</v>
      </c>
      <c r="T66">
        <f>IF(P66=0,0,IF(L66&lt;&gt;"None",-1,0))</f>
        <v>-1</v>
      </c>
      <c r="U66">
        <f>IF(P66=0,"",Q66+R66+S66+T66)</f>
        <v>3</v>
      </c>
      <c r="V66" t="str">
        <f>IF(P66=0,"",IF(U66&gt;=3,"Probable",IF(U66&gt;=1,"Possible","Unlikely")))</f>
        <v>Probable</v>
      </c>
    </row>
    <row r="67" spans="1:22" x14ac:dyDescent="0.25">
      <c r="A67" s="2" t="s">
        <v>92</v>
      </c>
      <c r="B67" s="2">
        <v>57</v>
      </c>
      <c r="C67" s="2" t="s">
        <v>24</v>
      </c>
      <c r="D67" s="2" t="s">
        <v>71</v>
      </c>
      <c r="E67" s="2" t="s">
        <v>72</v>
      </c>
      <c r="F67" s="2">
        <v>5</v>
      </c>
      <c r="G67" s="3">
        <v>45794</v>
      </c>
      <c r="H67" s="2" t="s">
        <v>73</v>
      </c>
      <c r="I67" s="3">
        <v>45823</v>
      </c>
      <c r="J67" s="2" t="s">
        <v>89</v>
      </c>
      <c r="K67" s="2" t="s">
        <v>18</v>
      </c>
      <c r="L67" s="2" t="s">
        <v>17</v>
      </c>
      <c r="M67" s="2" t="s">
        <v>36</v>
      </c>
      <c r="N67">
        <f>IF(H67="None","",I67-G67)</f>
        <v>29</v>
      </c>
      <c r="O67" t="str">
        <f>IF(B67&lt;18,"Under 18",IF(B67&lt;40,"18 to 39",IF(B67&lt;60,"40 to 59","60 and above")))</f>
        <v>40 to 59</v>
      </c>
      <c r="P67">
        <f>IF(H67="None",0,1)</f>
        <v>1</v>
      </c>
      <c r="Q67">
        <f>IF(P67=0,0,IF(COUNTIFS(Known_ADRs!$A$2:$A$31,D67,Known_ADRs!$B$2:$B$31,H67)&gt;0,1,0))</f>
        <v>1</v>
      </c>
      <c r="R67">
        <f>IF(P67=0,0,IF(N67&gt;0,2,0))</f>
        <v>2</v>
      </c>
      <c r="S67">
        <f>IF(P67=0,0,IF(K67="Yes",1,IF(K67="No",-1,0)))</f>
        <v>0</v>
      </c>
      <c r="T67">
        <f>IF(P67=0,0,IF(L67&lt;&gt;"None",-1,0))</f>
        <v>0</v>
      </c>
      <c r="U67">
        <f>IF(P67=0,"",Q67+R67+S67+T67)</f>
        <v>3</v>
      </c>
      <c r="V67" t="str">
        <f>IF(P67=0,"",IF(U67&gt;=3,"Probable",IF(U67&gt;=1,"Possible","Unlikely")))</f>
        <v>Probable</v>
      </c>
    </row>
    <row r="68" spans="1:22" x14ac:dyDescent="0.25">
      <c r="A68" s="2" t="s">
        <v>94</v>
      </c>
      <c r="B68" s="2">
        <v>15</v>
      </c>
      <c r="C68" s="2" t="s">
        <v>24</v>
      </c>
      <c r="D68" s="2" t="s">
        <v>38</v>
      </c>
      <c r="E68" s="2" t="s">
        <v>39</v>
      </c>
      <c r="F68" s="2">
        <v>20</v>
      </c>
      <c r="G68" s="3">
        <v>45667</v>
      </c>
      <c r="H68" s="2" t="s">
        <v>95</v>
      </c>
      <c r="I68" s="3">
        <v>45720</v>
      </c>
      <c r="J68" s="2" t="s">
        <v>33</v>
      </c>
      <c r="K68" s="2" t="s">
        <v>34</v>
      </c>
      <c r="L68" s="2" t="s">
        <v>35</v>
      </c>
      <c r="M68" s="2" t="s">
        <v>36</v>
      </c>
      <c r="N68">
        <f>IF(H68="None","",I68-G68)</f>
        <v>53</v>
      </c>
      <c r="O68" t="str">
        <f>IF(B68&lt;18,"Under 18",IF(B68&lt;40,"18 to 39",IF(B68&lt;60,"40 to 59","60 and above")))</f>
        <v>Under 18</v>
      </c>
      <c r="P68">
        <f>IF(H68="None",0,1)</f>
        <v>1</v>
      </c>
      <c r="Q68">
        <f>IF(P68=0,0,IF(COUNTIFS(Known_ADRs!$A$2:$A$31,D68,Known_ADRs!$B$2:$B$31,H68)&gt;0,1,0))</f>
        <v>1</v>
      </c>
      <c r="R68">
        <f>IF(P68=0,0,IF(N68&gt;0,2,0))</f>
        <v>2</v>
      </c>
      <c r="S68">
        <f>IF(P68=0,0,IF(K68="Yes",1,IF(K68="No",-1,0)))</f>
        <v>1</v>
      </c>
      <c r="T68">
        <f>IF(P68=0,0,IF(L68&lt;&gt;"None",-1,0))</f>
        <v>-1</v>
      </c>
      <c r="U68">
        <f>IF(P68=0,"",Q68+R68+S68+T68)</f>
        <v>3</v>
      </c>
      <c r="V68" t="str">
        <f>IF(P68=0,"",IF(U68&gt;=3,"Probable",IF(U68&gt;=1,"Possible","Unlikely")))</f>
        <v>Probable</v>
      </c>
    </row>
    <row r="69" spans="1:22" x14ac:dyDescent="0.25">
      <c r="A69" s="2" t="s">
        <v>100</v>
      </c>
      <c r="B69" s="2">
        <v>29</v>
      </c>
      <c r="C69" s="2" t="s">
        <v>24</v>
      </c>
      <c r="D69" s="2" t="s">
        <v>38</v>
      </c>
      <c r="E69" s="2" t="s">
        <v>39</v>
      </c>
      <c r="F69" s="2">
        <v>20</v>
      </c>
      <c r="G69" s="3">
        <v>45715</v>
      </c>
      <c r="H69" s="2" t="s">
        <v>95</v>
      </c>
      <c r="I69" s="3">
        <v>45729</v>
      </c>
      <c r="J69" s="2" t="s">
        <v>89</v>
      </c>
      <c r="K69" s="2" t="s">
        <v>18</v>
      </c>
      <c r="L69" s="2" t="s">
        <v>17</v>
      </c>
      <c r="M69" s="2" t="s">
        <v>36</v>
      </c>
      <c r="N69">
        <f>IF(H69="None","",I69-G69)</f>
        <v>14</v>
      </c>
      <c r="O69" t="str">
        <f>IF(B69&lt;18,"Under 18",IF(B69&lt;40,"18 to 39",IF(B69&lt;60,"40 to 59","60 and above")))</f>
        <v>18 to 39</v>
      </c>
      <c r="P69">
        <f>IF(H69="None",0,1)</f>
        <v>1</v>
      </c>
      <c r="Q69">
        <f>IF(P69=0,0,IF(COUNTIFS(Known_ADRs!$A$2:$A$31,D69,Known_ADRs!$B$2:$B$31,H69)&gt;0,1,0))</f>
        <v>1</v>
      </c>
      <c r="R69">
        <f>IF(P69=0,0,IF(N69&gt;0,2,0))</f>
        <v>2</v>
      </c>
      <c r="S69">
        <f>IF(P69=0,0,IF(K69="Yes",1,IF(K69="No",-1,0)))</f>
        <v>0</v>
      </c>
      <c r="T69">
        <f>IF(P69=0,0,IF(L69&lt;&gt;"None",-1,0))</f>
        <v>0</v>
      </c>
      <c r="U69">
        <f>IF(P69=0,"",Q69+R69+S69+T69)</f>
        <v>3</v>
      </c>
      <c r="V69" t="str">
        <f>IF(P69=0,"",IF(U69&gt;=3,"Probable",IF(U69&gt;=1,"Possible","Unlikely")))</f>
        <v>Probable</v>
      </c>
    </row>
    <row r="70" spans="1:22" x14ac:dyDescent="0.25">
      <c r="A70" s="2" t="s">
        <v>130</v>
      </c>
      <c r="B70" s="2">
        <v>36</v>
      </c>
      <c r="C70" s="2" t="s">
        <v>24</v>
      </c>
      <c r="D70" s="2" t="s">
        <v>30</v>
      </c>
      <c r="E70" s="2" t="s">
        <v>31</v>
      </c>
      <c r="F70" s="2">
        <v>10</v>
      </c>
      <c r="G70" s="3">
        <v>45904</v>
      </c>
      <c r="H70" s="2" t="s">
        <v>32</v>
      </c>
      <c r="I70" s="3">
        <v>45914</v>
      </c>
      <c r="J70" s="2" t="s">
        <v>33</v>
      </c>
      <c r="K70" s="2" t="s">
        <v>34</v>
      </c>
      <c r="L70" s="2" t="s">
        <v>35</v>
      </c>
      <c r="M70" s="2" t="s">
        <v>36</v>
      </c>
      <c r="N70">
        <f>IF(H70="None","",I70-G70)</f>
        <v>10</v>
      </c>
      <c r="O70" t="str">
        <f>IF(B70&lt;18,"Under 18",IF(B70&lt;40,"18 to 39",IF(B70&lt;60,"40 to 59","60 and above")))</f>
        <v>18 to 39</v>
      </c>
      <c r="P70">
        <f>IF(H70="None",0,1)</f>
        <v>1</v>
      </c>
      <c r="Q70">
        <f>IF(P70=0,0,IF(COUNTIFS(Known_ADRs!$A$2:$A$31,D70,Known_ADRs!$B$2:$B$31,H70)&gt;0,1,0))</f>
        <v>1</v>
      </c>
      <c r="R70">
        <f>IF(P70=0,0,IF(N70&gt;0,2,0))</f>
        <v>2</v>
      </c>
      <c r="S70">
        <f>IF(P70=0,0,IF(K70="Yes",1,IF(K70="No",-1,0)))</f>
        <v>1</v>
      </c>
      <c r="T70">
        <f>IF(P70=0,0,IF(L70&lt;&gt;"None",-1,0))</f>
        <v>-1</v>
      </c>
      <c r="U70">
        <f>IF(P70=0,"",Q70+R70+S70+T70)</f>
        <v>3</v>
      </c>
      <c r="V70" t="str">
        <f>IF(P70=0,"",IF(U70&gt;=3,"Probable",IF(U70&gt;=1,"Possible","Unlikely")))</f>
        <v>Probable</v>
      </c>
    </row>
    <row r="71" spans="1:22" x14ac:dyDescent="0.25">
      <c r="A71" s="2" t="s">
        <v>134</v>
      </c>
      <c r="B71" s="2">
        <v>41</v>
      </c>
      <c r="C71" s="2" t="s">
        <v>24</v>
      </c>
      <c r="D71" s="2" t="s">
        <v>26</v>
      </c>
      <c r="E71" s="2" t="s">
        <v>27</v>
      </c>
      <c r="F71" s="2">
        <v>5</v>
      </c>
      <c r="G71" s="3">
        <v>45908</v>
      </c>
      <c r="H71" s="2" t="s">
        <v>135</v>
      </c>
      <c r="I71" s="3">
        <v>45918</v>
      </c>
      <c r="J71" s="2" t="s">
        <v>33</v>
      </c>
      <c r="K71" s="2" t="s">
        <v>34</v>
      </c>
      <c r="L71" s="2" t="s">
        <v>28</v>
      </c>
      <c r="M71" s="2" t="s">
        <v>36</v>
      </c>
      <c r="N71">
        <f>IF(H71="None","",I71-G71)</f>
        <v>10</v>
      </c>
      <c r="O71" t="str">
        <f>IF(B71&lt;18,"Under 18",IF(B71&lt;40,"18 to 39",IF(B71&lt;60,"40 to 59","60 and above")))</f>
        <v>40 to 59</v>
      </c>
      <c r="P71">
        <f>IF(H71="None",0,1)</f>
        <v>1</v>
      </c>
      <c r="Q71">
        <f>IF(P71=0,0,IF(COUNTIFS(Known_ADRs!$A$2:$A$31,D71,Known_ADRs!$B$2:$B$31,H71)&gt;0,1,0))</f>
        <v>1</v>
      </c>
      <c r="R71">
        <f>IF(P71=0,0,IF(N71&gt;0,2,0))</f>
        <v>2</v>
      </c>
      <c r="S71">
        <f>IF(P71=0,0,IF(K71="Yes",1,IF(K71="No",-1,0)))</f>
        <v>1</v>
      </c>
      <c r="T71">
        <f>IF(P71=0,0,IF(L71&lt;&gt;"None",-1,0))</f>
        <v>-1</v>
      </c>
      <c r="U71">
        <f>IF(P71=0,"",Q71+R71+S71+T71)</f>
        <v>3</v>
      </c>
      <c r="V71" t="str">
        <f>IF(P71=0,"",IF(U71&gt;=3,"Probable",IF(U71&gt;=1,"Possible","Unlikely")))</f>
        <v>Probable</v>
      </c>
    </row>
    <row r="72" spans="1:22" x14ac:dyDescent="0.25">
      <c r="A72" s="2" t="s">
        <v>141</v>
      </c>
      <c r="B72" s="2">
        <v>73</v>
      </c>
      <c r="C72" s="2" t="s">
        <v>24</v>
      </c>
      <c r="D72" s="2" t="s">
        <v>30</v>
      </c>
      <c r="E72" s="2" t="s">
        <v>31</v>
      </c>
      <c r="F72" s="2">
        <v>10</v>
      </c>
      <c r="G72" s="3">
        <v>45907</v>
      </c>
      <c r="H72" s="2" t="s">
        <v>32</v>
      </c>
      <c r="I72" s="3">
        <v>45917</v>
      </c>
      <c r="J72" s="2" t="s">
        <v>33</v>
      </c>
      <c r="K72" s="2" t="s">
        <v>34</v>
      </c>
      <c r="L72" s="2" t="s">
        <v>53</v>
      </c>
      <c r="M72" s="2" t="s">
        <v>66</v>
      </c>
      <c r="N72">
        <f>IF(H72="None","",I72-G72)</f>
        <v>10</v>
      </c>
      <c r="O72" t="str">
        <f>IF(B72&lt;18,"Under 18",IF(B72&lt;40,"18 to 39",IF(B72&lt;60,"40 to 59","60 and above")))</f>
        <v>60 and above</v>
      </c>
      <c r="P72">
        <f>IF(H72="None",0,1)</f>
        <v>1</v>
      </c>
      <c r="Q72">
        <f>IF(P72=0,0,IF(COUNTIFS(Known_ADRs!$A$2:$A$31,D72,Known_ADRs!$B$2:$B$31,H72)&gt;0,1,0))</f>
        <v>1</v>
      </c>
      <c r="R72">
        <f>IF(P72=0,0,IF(N72&gt;0,2,0))</f>
        <v>2</v>
      </c>
      <c r="S72">
        <f>IF(P72=0,0,IF(K72="Yes",1,IF(K72="No",-1,0)))</f>
        <v>1</v>
      </c>
      <c r="T72">
        <f>IF(P72=0,0,IF(L72&lt;&gt;"None",-1,0))</f>
        <v>-1</v>
      </c>
      <c r="U72">
        <f>IF(P72=0,"",Q72+R72+S72+T72)</f>
        <v>3</v>
      </c>
      <c r="V72" t="str">
        <f>IF(P72=0,"",IF(U72&gt;=3,"Probable",IF(U72&gt;=1,"Possible","Unlikely")))</f>
        <v>Probable</v>
      </c>
    </row>
    <row r="73" spans="1:22" x14ac:dyDescent="0.25">
      <c r="A73" s="2" t="s">
        <v>43</v>
      </c>
      <c r="B73" s="2">
        <v>29</v>
      </c>
      <c r="C73" s="2" t="s">
        <v>14</v>
      </c>
      <c r="D73" s="2" t="s">
        <v>44</v>
      </c>
      <c r="E73" s="2" t="s">
        <v>45</v>
      </c>
      <c r="F73" s="2">
        <v>100</v>
      </c>
      <c r="G73" s="3">
        <v>45783</v>
      </c>
      <c r="H73" s="2" t="s">
        <v>46</v>
      </c>
      <c r="I73" s="3">
        <v>45807</v>
      </c>
      <c r="J73" s="2" t="s">
        <v>47</v>
      </c>
      <c r="K73" s="2" t="s">
        <v>48</v>
      </c>
      <c r="L73" s="2" t="s">
        <v>17</v>
      </c>
      <c r="M73" s="2" t="s">
        <v>49</v>
      </c>
      <c r="N73">
        <f>IF(H73="None","",I73-G73)</f>
        <v>24</v>
      </c>
      <c r="O73" t="str">
        <f>IF(B73&lt;18,"Under 18",IF(B73&lt;40,"18 to 39",IF(B73&lt;60,"40 to 59","60 and above")))</f>
        <v>18 to 39</v>
      </c>
      <c r="P73">
        <f>IF(H73="None",0,1)</f>
        <v>1</v>
      </c>
      <c r="Q73">
        <f>IF(P73=0,0,IF(COUNTIFS(Known_ADRs!$A$2:$A$31,D73,Known_ADRs!$B$2:$B$31,H73)&gt;0,1,0))</f>
        <v>1</v>
      </c>
      <c r="R73">
        <f>IF(P73=0,0,IF(N73&gt;0,2,0))</f>
        <v>2</v>
      </c>
      <c r="S73">
        <f>IF(P73=0,0,IF(K73="Yes",1,IF(K73="No",-1,0)))</f>
        <v>-1</v>
      </c>
      <c r="T73">
        <f>IF(P73=0,0,IF(L73&lt;&gt;"None",-1,0))</f>
        <v>0</v>
      </c>
      <c r="U73">
        <f>IF(P73=0,"",Q73+R73+S73+T73)</f>
        <v>2</v>
      </c>
      <c r="V73" t="str">
        <f>IF(P73=0,"",IF(U73&gt;=3,"Probable",IF(U73&gt;=1,"Possible","Unlikely")))</f>
        <v>Possible</v>
      </c>
    </row>
    <row r="74" spans="1:22" x14ac:dyDescent="0.25">
      <c r="A74" s="2" t="s">
        <v>68</v>
      </c>
      <c r="B74" s="2">
        <v>24</v>
      </c>
      <c r="C74" s="2" t="s">
        <v>24</v>
      </c>
      <c r="D74" s="2" t="s">
        <v>21</v>
      </c>
      <c r="E74" s="2" t="s">
        <v>22</v>
      </c>
      <c r="F74" s="2">
        <v>1000</v>
      </c>
      <c r="G74" s="3">
        <v>45708</v>
      </c>
      <c r="H74" s="2" t="s">
        <v>69</v>
      </c>
      <c r="I74" s="3">
        <v>45710</v>
      </c>
      <c r="J74" s="2" t="s">
        <v>47</v>
      </c>
      <c r="K74" s="2" t="s">
        <v>18</v>
      </c>
      <c r="L74" s="2" t="s">
        <v>28</v>
      </c>
      <c r="M74" s="2" t="s">
        <v>66</v>
      </c>
      <c r="N74">
        <f>IF(H74="None","",I74-G74)</f>
        <v>2</v>
      </c>
      <c r="O74" t="str">
        <f>IF(B74&lt;18,"Under 18",IF(B74&lt;40,"18 to 39",IF(B74&lt;60,"40 to 59","60 and above")))</f>
        <v>18 to 39</v>
      </c>
      <c r="P74">
        <f>IF(H74="None",0,1)</f>
        <v>1</v>
      </c>
      <c r="Q74">
        <f>IF(P74=0,0,IF(COUNTIFS(Known_ADRs!$A$2:$A$31,D74,Known_ADRs!$B$2:$B$31,H74)&gt;0,1,0))</f>
        <v>1</v>
      </c>
      <c r="R74">
        <f>IF(P74=0,0,IF(N74&gt;0,2,0))</f>
        <v>2</v>
      </c>
      <c r="S74">
        <f>IF(P74=0,0,IF(K74="Yes",1,IF(K74="No",-1,0)))</f>
        <v>0</v>
      </c>
      <c r="T74">
        <f>IF(P74=0,0,IF(L74&lt;&gt;"None",-1,0))</f>
        <v>-1</v>
      </c>
      <c r="U74">
        <f>IF(P74=0,"",Q74+R74+S74+T74)</f>
        <v>2</v>
      </c>
      <c r="V74" t="str">
        <f>IF(P74=0,"",IF(U74&gt;=3,"Probable",IF(U74&gt;=1,"Possible","Unlikely")))</f>
        <v>Possible</v>
      </c>
    </row>
    <row r="75" spans="1:22" x14ac:dyDescent="0.25">
      <c r="A75" s="2" t="s">
        <v>86</v>
      </c>
      <c r="B75" s="2">
        <v>73</v>
      </c>
      <c r="C75" s="2" t="s">
        <v>24</v>
      </c>
      <c r="D75" s="2" t="s">
        <v>71</v>
      </c>
      <c r="E75" s="2" t="s">
        <v>72</v>
      </c>
      <c r="F75" s="2">
        <v>5</v>
      </c>
      <c r="G75" s="3">
        <v>45774</v>
      </c>
      <c r="H75" s="2" t="s">
        <v>73</v>
      </c>
      <c r="I75" s="3">
        <v>45804</v>
      </c>
      <c r="J75" s="2" t="s">
        <v>33</v>
      </c>
      <c r="K75" s="2" t="s">
        <v>18</v>
      </c>
      <c r="L75" s="2" t="s">
        <v>53</v>
      </c>
      <c r="M75" s="2" t="s">
        <v>78</v>
      </c>
      <c r="N75">
        <f>IF(H75="None","",I75-G75)</f>
        <v>30</v>
      </c>
      <c r="O75" t="str">
        <f>IF(B75&lt;18,"Under 18",IF(B75&lt;40,"18 to 39",IF(B75&lt;60,"40 to 59","60 and above")))</f>
        <v>60 and above</v>
      </c>
      <c r="P75">
        <f>IF(H75="None",0,1)</f>
        <v>1</v>
      </c>
      <c r="Q75">
        <f>IF(P75=0,0,IF(COUNTIFS(Known_ADRs!$A$2:$A$31,D75,Known_ADRs!$B$2:$B$31,H75)&gt;0,1,0))</f>
        <v>1</v>
      </c>
      <c r="R75">
        <f>IF(P75=0,0,IF(N75&gt;0,2,0))</f>
        <v>2</v>
      </c>
      <c r="S75">
        <f>IF(P75=0,0,IF(K75="Yes",1,IF(K75="No",-1,0)))</f>
        <v>0</v>
      </c>
      <c r="T75">
        <f>IF(P75=0,0,IF(L75&lt;&gt;"None",-1,0))</f>
        <v>-1</v>
      </c>
      <c r="U75">
        <f>IF(P75=0,"",Q75+R75+S75+T75)</f>
        <v>2</v>
      </c>
      <c r="V75" t="str">
        <f>IF(P75=0,"",IF(U75&gt;=3,"Probable",IF(U75&gt;=1,"Possible","Unlikely")))</f>
        <v>Possible</v>
      </c>
    </row>
    <row r="76" spans="1:22" x14ac:dyDescent="0.25">
      <c r="A76" s="2" t="s">
        <v>87</v>
      </c>
      <c r="B76" s="2">
        <v>31</v>
      </c>
      <c r="C76" s="2" t="s">
        <v>14</v>
      </c>
      <c r="D76" s="2" t="s">
        <v>38</v>
      </c>
      <c r="E76" s="2" t="s">
        <v>39</v>
      </c>
      <c r="F76" s="2">
        <v>20</v>
      </c>
      <c r="G76" s="3">
        <v>45742</v>
      </c>
      <c r="H76" s="2" t="s">
        <v>88</v>
      </c>
      <c r="I76" s="3">
        <v>45810</v>
      </c>
      <c r="J76" s="2" t="s">
        <v>89</v>
      </c>
      <c r="K76" s="2" t="s">
        <v>18</v>
      </c>
      <c r="L76" s="2" t="s">
        <v>35</v>
      </c>
      <c r="M76" s="2" t="s">
        <v>66</v>
      </c>
      <c r="N76">
        <f>IF(H76="None","",I76-G76)</f>
        <v>68</v>
      </c>
      <c r="O76" t="str">
        <f>IF(B76&lt;18,"Under 18",IF(B76&lt;40,"18 to 39",IF(B76&lt;60,"40 to 59","60 and above")))</f>
        <v>18 to 39</v>
      </c>
      <c r="P76">
        <f>IF(H76="None",0,1)</f>
        <v>1</v>
      </c>
      <c r="Q76">
        <f>IF(P76=0,0,IF(COUNTIFS(Known_ADRs!$A$2:$A$31,D76,Known_ADRs!$B$2:$B$31,H76)&gt;0,1,0))</f>
        <v>1</v>
      </c>
      <c r="R76">
        <f>IF(P76=0,0,IF(N76&gt;0,2,0))</f>
        <v>2</v>
      </c>
      <c r="S76">
        <f>IF(P76=0,0,IF(K76="Yes",1,IF(K76="No",-1,0)))</f>
        <v>0</v>
      </c>
      <c r="T76">
        <f>IF(P76=0,0,IF(L76&lt;&gt;"None",-1,0))</f>
        <v>-1</v>
      </c>
      <c r="U76">
        <f>IF(P76=0,"",Q76+R76+S76+T76)</f>
        <v>2</v>
      </c>
      <c r="V76" t="str">
        <f>IF(P76=0,"",IF(U76&gt;=3,"Probable",IF(U76&gt;=1,"Possible","Unlikely")))</f>
        <v>Possible</v>
      </c>
    </row>
    <row r="77" spans="1:22" x14ac:dyDescent="0.25">
      <c r="A77" s="2" t="s">
        <v>116</v>
      </c>
      <c r="B77" s="2">
        <v>69</v>
      </c>
      <c r="C77" s="2" t="s">
        <v>14</v>
      </c>
      <c r="D77" s="2" t="s">
        <v>44</v>
      </c>
      <c r="E77" s="2" t="s">
        <v>45</v>
      </c>
      <c r="F77" s="2">
        <v>100</v>
      </c>
      <c r="G77" s="3">
        <v>45705</v>
      </c>
      <c r="H77" s="2" t="s">
        <v>75</v>
      </c>
      <c r="I77" s="3">
        <v>45708</v>
      </c>
      <c r="J77" s="2" t="s">
        <v>33</v>
      </c>
      <c r="K77" s="2" t="s">
        <v>48</v>
      </c>
      <c r="L77" s="2" t="s">
        <v>17</v>
      </c>
      <c r="M77" s="2" t="s">
        <v>66</v>
      </c>
      <c r="N77">
        <f>IF(H77="None","",I77-G77)</f>
        <v>3</v>
      </c>
      <c r="O77" t="str">
        <f>IF(B77&lt;18,"Under 18",IF(B77&lt;40,"18 to 39",IF(B77&lt;60,"40 to 59","60 and above")))</f>
        <v>60 and above</v>
      </c>
      <c r="P77">
        <f>IF(H77="None",0,1)</f>
        <v>1</v>
      </c>
      <c r="Q77">
        <f>IF(P77=0,0,IF(COUNTIFS(Known_ADRs!$A$2:$A$31,D77,Known_ADRs!$B$2:$B$31,H77)&gt;0,1,0))</f>
        <v>1</v>
      </c>
      <c r="R77">
        <f>IF(P77=0,0,IF(N77&gt;0,2,0))</f>
        <v>2</v>
      </c>
      <c r="S77">
        <f>IF(P77=0,0,IF(K77="Yes",1,IF(K77="No",-1,0)))</f>
        <v>-1</v>
      </c>
      <c r="T77">
        <f>IF(P77=0,0,IF(L77&lt;&gt;"None",-1,0))</f>
        <v>0</v>
      </c>
      <c r="U77">
        <f>IF(P77=0,"",Q77+R77+S77+T77)</f>
        <v>2</v>
      </c>
      <c r="V77" t="str">
        <f>IF(P77=0,"",IF(U77&gt;=3,"Probable",IF(U77&gt;=1,"Possible","Unlikely")))</f>
        <v>Possible</v>
      </c>
    </row>
    <row r="78" spans="1:22" x14ac:dyDescent="0.25">
      <c r="A78" s="2" t="s">
        <v>125</v>
      </c>
      <c r="B78" s="2">
        <v>39</v>
      </c>
      <c r="C78" s="2" t="s">
        <v>24</v>
      </c>
      <c r="D78" s="2" t="s">
        <v>56</v>
      </c>
      <c r="E78" s="2" t="s">
        <v>57</v>
      </c>
      <c r="F78" s="2">
        <v>500</v>
      </c>
      <c r="G78" s="3">
        <v>45862</v>
      </c>
      <c r="H78" s="2" t="s">
        <v>60</v>
      </c>
      <c r="I78" s="3">
        <v>45864</v>
      </c>
      <c r="J78" s="2" t="s">
        <v>89</v>
      </c>
      <c r="K78" s="2" t="s">
        <v>18</v>
      </c>
      <c r="L78" s="2" t="s">
        <v>35</v>
      </c>
      <c r="M78" s="2" t="s">
        <v>66</v>
      </c>
      <c r="N78">
        <f>IF(H78="None","",I78-G78)</f>
        <v>2</v>
      </c>
      <c r="O78" t="str">
        <f>IF(B78&lt;18,"Under 18",IF(B78&lt;40,"18 to 39",IF(B78&lt;60,"40 to 59","60 and above")))</f>
        <v>18 to 39</v>
      </c>
      <c r="P78">
        <f>IF(H78="None",0,1)</f>
        <v>1</v>
      </c>
      <c r="Q78">
        <f>IF(P78=0,0,IF(COUNTIFS(Known_ADRs!$A$2:$A$31,D78,Known_ADRs!$B$2:$B$31,H78)&gt;0,1,0))</f>
        <v>1</v>
      </c>
      <c r="R78">
        <f>IF(P78=0,0,IF(N78&gt;0,2,0))</f>
        <v>2</v>
      </c>
      <c r="S78">
        <f>IF(P78=0,0,IF(K78="Yes",1,IF(K78="No",-1,0)))</f>
        <v>0</v>
      </c>
      <c r="T78">
        <f>IF(P78=0,0,IF(L78&lt;&gt;"None",-1,0))</f>
        <v>-1</v>
      </c>
      <c r="U78">
        <f>IF(P78=0,"",Q78+R78+S78+T78)</f>
        <v>2</v>
      </c>
      <c r="V78" t="str">
        <f>IF(P78=0,"",IF(U78&gt;=3,"Probable",IF(U78&gt;=1,"Possible","Unlikely")))</f>
        <v>Possible</v>
      </c>
    </row>
    <row r="79" spans="1:22" x14ac:dyDescent="0.25">
      <c r="A79" s="2" t="s">
        <v>136</v>
      </c>
      <c r="B79" s="2">
        <v>64</v>
      </c>
      <c r="C79" s="2" t="s">
        <v>14</v>
      </c>
      <c r="D79" s="2" t="s">
        <v>15</v>
      </c>
      <c r="E79" s="2" t="s">
        <v>16</v>
      </c>
      <c r="F79" s="2">
        <v>20</v>
      </c>
      <c r="G79" s="3">
        <v>45902</v>
      </c>
      <c r="H79" s="2" t="s">
        <v>135</v>
      </c>
      <c r="I79" s="3">
        <v>45929</v>
      </c>
      <c r="J79" s="2" t="s">
        <v>33</v>
      </c>
      <c r="K79" s="2" t="s">
        <v>18</v>
      </c>
      <c r="L79" s="2" t="s">
        <v>53</v>
      </c>
      <c r="M79" s="2" t="s">
        <v>66</v>
      </c>
      <c r="N79">
        <f>IF(H79="None","",I79-G79)</f>
        <v>27</v>
      </c>
      <c r="O79" t="str">
        <f>IF(B79&lt;18,"Under 18",IF(B79&lt;40,"18 to 39",IF(B79&lt;60,"40 to 59","60 and above")))</f>
        <v>60 and above</v>
      </c>
      <c r="P79">
        <f>IF(H79="None",0,1)</f>
        <v>1</v>
      </c>
      <c r="Q79">
        <f>IF(P79=0,0,IF(COUNTIFS(Known_ADRs!$A$2:$A$31,D79,Known_ADRs!$B$2:$B$31,H79)&gt;0,1,0))</f>
        <v>1</v>
      </c>
      <c r="R79">
        <f>IF(P79=0,0,IF(N79&gt;0,2,0))</f>
        <v>2</v>
      </c>
      <c r="S79">
        <f>IF(P79=0,0,IF(K79="Yes",1,IF(K79="No",-1,0)))</f>
        <v>0</v>
      </c>
      <c r="T79">
        <f>IF(P79=0,0,IF(L79&lt;&gt;"None",-1,0))</f>
        <v>-1</v>
      </c>
      <c r="U79">
        <f>IF(P79=0,"",Q79+R79+S79+T79)</f>
        <v>2</v>
      </c>
      <c r="V79" t="str">
        <f>IF(P79=0,"",IF(U79&gt;=3,"Probable",IF(U79&gt;=1,"Possible","Unlikely")))</f>
        <v>Possible</v>
      </c>
    </row>
    <row r="80" spans="1:22" x14ac:dyDescent="0.25">
      <c r="A80" s="2" t="s">
        <v>55</v>
      </c>
      <c r="B80" s="2">
        <v>72</v>
      </c>
      <c r="C80" s="2" t="s">
        <v>14</v>
      </c>
      <c r="D80" s="2" t="s">
        <v>56</v>
      </c>
      <c r="E80" s="2" t="s">
        <v>57</v>
      </c>
      <c r="F80" s="2">
        <v>500</v>
      </c>
      <c r="G80" s="3">
        <v>45888</v>
      </c>
      <c r="H80" s="2" t="s">
        <v>58</v>
      </c>
      <c r="I80" s="3">
        <v>45900</v>
      </c>
      <c r="J80" s="2" t="s">
        <v>33</v>
      </c>
      <c r="K80" s="2" t="s">
        <v>48</v>
      </c>
      <c r="L80" s="2" t="s">
        <v>35</v>
      </c>
      <c r="M80" s="2" t="s">
        <v>36</v>
      </c>
      <c r="N80">
        <f>IF(H80="None","",I80-G80)</f>
        <v>12</v>
      </c>
      <c r="O80" t="str">
        <f>IF(B80&lt;18,"Under 18",IF(B80&lt;40,"18 to 39",IF(B80&lt;60,"40 to 59","60 and above")))</f>
        <v>60 and above</v>
      </c>
      <c r="P80">
        <f>IF(H80="None",0,1)</f>
        <v>1</v>
      </c>
      <c r="Q80">
        <f>IF(P80=0,0,IF(COUNTIFS(Known_ADRs!$A$2:$A$31,D80,Known_ADRs!$B$2:$B$31,H80)&gt;0,1,0))</f>
        <v>1</v>
      </c>
      <c r="R80">
        <f>IF(P80=0,0,IF(N80&gt;0,2,0))</f>
        <v>2</v>
      </c>
      <c r="S80">
        <f>IF(P80=0,0,IF(K80="Yes",1,IF(K80="No",-1,0)))</f>
        <v>-1</v>
      </c>
      <c r="T80">
        <f>IF(P80=0,0,IF(L80&lt;&gt;"None",-1,0))</f>
        <v>-1</v>
      </c>
      <c r="U80">
        <f>IF(P80=0,"",Q80+R80+S80+T80)</f>
        <v>1</v>
      </c>
      <c r="V80" t="str">
        <f>IF(P80=0,"",IF(U80&gt;=3,"Probable",IF(U80&gt;=1,"Possible","Unlikely")))</f>
        <v>Possible</v>
      </c>
    </row>
    <row r="81" spans="1:22" x14ac:dyDescent="0.25">
      <c r="A81" s="2" t="s">
        <v>70</v>
      </c>
      <c r="B81" s="2">
        <v>80</v>
      </c>
      <c r="C81" s="2" t="s">
        <v>14</v>
      </c>
      <c r="D81" s="2" t="s">
        <v>71</v>
      </c>
      <c r="E81" s="2" t="s">
        <v>72</v>
      </c>
      <c r="F81" s="2">
        <v>5</v>
      </c>
      <c r="G81" s="3">
        <v>45755</v>
      </c>
      <c r="H81" s="2" t="s">
        <v>73</v>
      </c>
      <c r="I81" s="3">
        <v>45760</v>
      </c>
      <c r="J81" s="2" t="s">
        <v>33</v>
      </c>
      <c r="K81" s="2" t="s">
        <v>48</v>
      </c>
      <c r="L81" s="2" t="s">
        <v>53</v>
      </c>
      <c r="M81" s="2" t="s">
        <v>66</v>
      </c>
      <c r="N81">
        <f>IF(H81="None","",I81-G81)</f>
        <v>5</v>
      </c>
      <c r="O81" t="str">
        <f>IF(B81&lt;18,"Under 18",IF(B81&lt;40,"18 to 39",IF(B81&lt;60,"40 to 59","60 and above")))</f>
        <v>60 and above</v>
      </c>
      <c r="P81">
        <f>IF(H81="None",0,1)</f>
        <v>1</v>
      </c>
      <c r="Q81">
        <f>IF(P81=0,0,IF(COUNTIFS(Known_ADRs!$A$2:$A$31,D81,Known_ADRs!$B$2:$B$31,H81)&gt;0,1,0))</f>
        <v>1</v>
      </c>
      <c r="R81">
        <f>IF(P81=0,0,IF(N81&gt;0,2,0))</f>
        <v>2</v>
      </c>
      <c r="S81">
        <f>IF(P81=0,0,IF(K81="Yes",1,IF(K81="No",-1,0)))</f>
        <v>-1</v>
      </c>
      <c r="T81">
        <f>IF(P81=0,0,IF(L81&lt;&gt;"None",-1,0))</f>
        <v>-1</v>
      </c>
      <c r="U81">
        <f>IF(P81=0,"",Q81+R81+S81+T81)</f>
        <v>1</v>
      </c>
      <c r="V81" t="str">
        <f>IF(P81=0,"",IF(U81&gt;=3,"Probable",IF(U81&gt;=1,"Possible","Unlikely")))</f>
        <v>Possible</v>
      </c>
    </row>
    <row r="83" spans="1:22" x14ac:dyDescent="0.25">
      <c r="A83" s="5" t="s">
        <v>150</v>
      </c>
      <c r="B83">
        <f>MIN(B2:B81)</f>
        <v>15</v>
      </c>
    </row>
    <row r="84" spans="1:22" x14ac:dyDescent="0.25">
      <c r="A84" s="5" t="s">
        <v>151</v>
      </c>
      <c r="B84">
        <f>MAX(B1:B81)</f>
        <v>80</v>
      </c>
    </row>
  </sheetData>
  <autoFilter ref="A1:V81" xr:uid="{00000000-0001-0000-0000-000000000000}">
    <sortState xmlns:xlrd2="http://schemas.microsoft.com/office/spreadsheetml/2017/richdata2" ref="A2:V81">
      <sortCondition descending="1" ref="U1:U81"/>
    </sortState>
  </autoFilter>
  <conditionalFormatting sqref="A2:A81 A83:A84">
    <cfRule type="duplicateValues" dxfId="3" priority="1"/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DC26D-8081-44BF-9944-57E0A6ED77E2}">
  <dimension ref="A1:J17"/>
  <sheetViews>
    <sheetView topLeftCell="A14" workbookViewId="0">
      <selection activeCell="N14" sqref="N14"/>
    </sheetView>
  </sheetViews>
  <sheetFormatPr defaultRowHeight="15" x14ac:dyDescent="0.25"/>
  <cols>
    <col min="1" max="1" width="26.85546875" customWidth="1"/>
    <col min="2" max="2" width="22.42578125" customWidth="1"/>
    <col min="3" max="3" width="11.85546875" customWidth="1"/>
    <col min="4" max="4" width="10.140625" customWidth="1"/>
    <col min="5" max="5" width="8.85546875" customWidth="1"/>
    <col min="6" max="6" width="12.5703125" customWidth="1"/>
    <col min="7" max="7" width="17.7109375" customWidth="1"/>
    <col min="8" max="8" width="17.28515625" customWidth="1"/>
    <col min="9" max="9" width="10.28515625" customWidth="1"/>
  </cols>
  <sheetData>
    <row r="1" spans="1:10" x14ac:dyDescent="0.25">
      <c r="A1" t="s">
        <v>161</v>
      </c>
    </row>
    <row r="3" spans="1:10" x14ac:dyDescent="0.25">
      <c r="A3" t="s">
        <v>162</v>
      </c>
      <c r="B3" s="7">
        <v>0.4</v>
      </c>
    </row>
    <row r="4" spans="1:10" x14ac:dyDescent="0.25">
      <c r="A4" t="s">
        <v>163</v>
      </c>
      <c r="B4" s="7">
        <v>0.25</v>
      </c>
    </row>
    <row r="6" spans="1:10" x14ac:dyDescent="0.25">
      <c r="A6" t="s">
        <v>3</v>
      </c>
      <c r="B6" t="s">
        <v>164</v>
      </c>
      <c r="C6" t="s">
        <v>165</v>
      </c>
      <c r="D6" t="s">
        <v>166</v>
      </c>
      <c r="E6" t="s">
        <v>167</v>
      </c>
      <c r="F6" t="s">
        <v>168</v>
      </c>
      <c r="G6" t="s">
        <v>169</v>
      </c>
      <c r="H6" t="s">
        <v>170</v>
      </c>
      <c r="I6" t="s">
        <v>171</v>
      </c>
      <c r="J6" t="s">
        <v>172</v>
      </c>
    </row>
    <row r="7" spans="1:10" x14ac:dyDescent="0.25">
      <c r="A7" t="s">
        <v>44</v>
      </c>
      <c r="B7" t="str">
        <f>INDEX(Patient_Data!$E$2:$E$81,MATCH(A7,Patient_Data!$D$2:$D$81,0))</f>
        <v>NSAID</v>
      </c>
      <c r="C7">
        <f>COUNTIFS(Patient_Data!$D$2:$D$81,A7)</f>
        <v>8</v>
      </c>
      <c r="D7">
        <f>COUNTIFS(Patient_Data!$D$2:$D$81,A7,Patient_Data!$P$2:$P$81,1)</f>
        <v>4</v>
      </c>
      <c r="E7">
        <f>D7/C7</f>
        <v>0.5</v>
      </c>
      <c r="F7">
        <f>COUNTIFS(Patient_Data!$D$2:$D$81,A7,Patient_Data!$J$2:$J$81,"Severe")</f>
        <v>1</v>
      </c>
      <c r="G7">
        <f>IFERROR(AVERAGEIFS(Patient_Data!$N$2:$N$81,Patient_Data!$D$2:$D$81,A7,Patient_Data!$P$2:$P$81,1),0)</f>
        <v>20.75</v>
      </c>
      <c r="H7">
        <f>COUNTIFS(Patient_Data!$D$2:$D$81,A7,Patient_Data!$V$2:$V$81,"Probable")</f>
        <v>2</v>
      </c>
      <c r="I7" t="str">
        <f>IF(E7&gt;=$B$3,"High",IF(E7&gt;=$B$4,"Medium","Low"))</f>
        <v>High</v>
      </c>
      <c r="J7">
        <f>RANK(E7,$E$7:$E$16,0)</f>
        <v>2</v>
      </c>
    </row>
    <row r="8" spans="1:10" x14ac:dyDescent="0.25">
      <c r="A8" t="s">
        <v>63</v>
      </c>
      <c r="B8" t="str">
        <f>INDEX(Patient_Data!$E$2:$E$81,MATCH(A8,Patient_Data!$D$2:$D$81,0))</f>
        <v>Antibiotic</v>
      </c>
      <c r="C8">
        <f>COUNTIFS(Patient_Data!$D$2:$D$81,A8)</f>
        <v>8</v>
      </c>
      <c r="D8">
        <f>COUNTIFS(Patient_Data!$D$2:$D$81,A8,Patient_Data!$P$2:$P$81,1)</f>
        <v>2</v>
      </c>
      <c r="E8">
        <f t="shared" ref="E8:E16" si="0">D8/C8</f>
        <v>0.25</v>
      </c>
      <c r="F8">
        <f>COUNTIFS(Patient_Data!$D$2:$D$81,A8,Patient_Data!$J$2:$J$81,"Severe")</f>
        <v>0</v>
      </c>
      <c r="G8">
        <f>IFERROR(AVERAGEIFS(Patient_Data!$N$2:$N$81,Patient_Data!$D$2:$D$81,A8,Patient_Data!$P$2:$P$81,1),0)</f>
        <v>5.5</v>
      </c>
      <c r="H8">
        <f>COUNTIFS(Patient_Data!$D$2:$D$81,A8,Patient_Data!$V$2:$V$81,"Probable")</f>
        <v>2</v>
      </c>
      <c r="I8" t="str">
        <f t="shared" ref="I8:I16" si="1">IF(E8&gt;=$B$3,"High",IF(E8&gt;=$B$4,"Medium","Low"))</f>
        <v>Medium</v>
      </c>
      <c r="J8">
        <f t="shared" ref="J8:J16" si="2">RANK(E8,$E$7:$E$16,0)</f>
        <v>5</v>
      </c>
    </row>
    <row r="9" spans="1:10" x14ac:dyDescent="0.25">
      <c r="A9" t="s">
        <v>38</v>
      </c>
      <c r="B9" t="str">
        <f>INDEX(Patient_Data!$E$2:$E$81,MATCH(A9,Patient_Data!$D$2:$D$81,0))</f>
        <v>Statin</v>
      </c>
      <c r="C9">
        <f>COUNTIFS(Patient_Data!$D$2:$D$81,A9)</f>
        <v>8</v>
      </c>
      <c r="D9">
        <f>COUNTIFS(Patient_Data!$D$2:$D$81,A9,Patient_Data!$P$2:$P$81,1)</f>
        <v>4</v>
      </c>
      <c r="E9">
        <f t="shared" si="0"/>
        <v>0.5</v>
      </c>
      <c r="F9">
        <f>COUNTIFS(Patient_Data!$D$2:$D$81,A9,Patient_Data!$J$2:$J$81,"Severe")</f>
        <v>0</v>
      </c>
      <c r="G9">
        <f>IFERROR(AVERAGEIFS(Patient_Data!$N$2:$N$81,Patient_Data!$D$2:$D$81,A9,Patient_Data!$P$2:$P$81,1),0)</f>
        <v>54.75</v>
      </c>
      <c r="H9">
        <f>COUNTIFS(Patient_Data!$D$2:$D$81,A9,Patient_Data!$V$2:$V$81,"Probable")</f>
        <v>3</v>
      </c>
      <c r="I9" t="str">
        <f t="shared" si="1"/>
        <v>High</v>
      </c>
      <c r="J9">
        <f t="shared" si="2"/>
        <v>2</v>
      </c>
    </row>
    <row r="10" spans="1:10" x14ac:dyDescent="0.25">
      <c r="A10" t="s">
        <v>21</v>
      </c>
      <c r="B10" t="str">
        <f>INDEX(Patient_Data!$E$2:$E$81,MATCH(A10,Patient_Data!$D$2:$D$81,0))</f>
        <v>Antidiabetic</v>
      </c>
      <c r="C10">
        <f>COUNTIFS(Patient_Data!$D$2:$D$81,A10)</f>
        <v>8</v>
      </c>
      <c r="D10">
        <f>COUNTIFS(Patient_Data!$D$2:$D$81,A10,Patient_Data!$P$2:$P$81,1)</f>
        <v>2</v>
      </c>
      <c r="E10">
        <f t="shared" si="0"/>
        <v>0.25</v>
      </c>
      <c r="F10">
        <f>COUNTIFS(Patient_Data!$D$2:$D$81,A10,Patient_Data!$J$2:$J$81,"Severe")</f>
        <v>1</v>
      </c>
      <c r="G10">
        <f>IFERROR(AVERAGEIFS(Patient_Data!$N$2:$N$81,Patient_Data!$D$2:$D$81,A10,Patient_Data!$P$2:$P$81,1),0)</f>
        <v>11</v>
      </c>
      <c r="H10">
        <f>COUNTIFS(Patient_Data!$D$2:$D$81,A10,Patient_Data!$V$2:$V$81,"Probable")</f>
        <v>1</v>
      </c>
      <c r="I10" t="str">
        <f t="shared" si="1"/>
        <v>Medium</v>
      </c>
      <c r="J10">
        <f t="shared" si="2"/>
        <v>5</v>
      </c>
    </row>
    <row r="11" spans="1:10" x14ac:dyDescent="0.25">
      <c r="A11" t="s">
        <v>30</v>
      </c>
      <c r="B11" t="str">
        <f>INDEX(Patient_Data!$E$2:$E$81,MATCH(A11,Patient_Data!$D$2:$D$81,0))</f>
        <v>ACE Inhibitor</v>
      </c>
      <c r="C11">
        <f>COUNTIFS(Patient_Data!$D$2:$D$81,A11)</f>
        <v>8</v>
      </c>
      <c r="D11">
        <f>COUNTIFS(Patient_Data!$D$2:$D$81,A11,Patient_Data!$P$2:$P$81,1)</f>
        <v>5</v>
      </c>
      <c r="E11">
        <f t="shared" si="0"/>
        <v>0.625</v>
      </c>
      <c r="F11">
        <f>COUNTIFS(Patient_Data!$D$2:$D$81,A11,Patient_Data!$J$2:$J$81,"Severe")</f>
        <v>0</v>
      </c>
      <c r="G11">
        <f>IFERROR(AVERAGEIFS(Patient_Data!$N$2:$N$81,Patient_Data!$D$2:$D$81,A11,Patient_Data!$P$2:$P$81,1),0)</f>
        <v>22.8</v>
      </c>
      <c r="H11">
        <f>COUNTIFS(Patient_Data!$D$2:$D$81,A11,Patient_Data!$V$2:$V$81,"Probable")</f>
        <v>5</v>
      </c>
      <c r="I11" t="str">
        <f t="shared" si="1"/>
        <v>High</v>
      </c>
      <c r="J11">
        <f t="shared" si="2"/>
        <v>1</v>
      </c>
    </row>
    <row r="12" spans="1:10" x14ac:dyDescent="0.25">
      <c r="A12" t="s">
        <v>26</v>
      </c>
      <c r="B12" t="str">
        <f>INDEX(Patient_Data!$E$2:$E$81,MATCH(A12,Patient_Data!$D$2:$D$81,0))</f>
        <v>Calcium Channel Blocker</v>
      </c>
      <c r="C12">
        <f>COUNTIFS(Patient_Data!$D$2:$D$81,A12)</f>
        <v>8</v>
      </c>
      <c r="D12">
        <f>COUNTIFS(Patient_Data!$D$2:$D$81,A12,Patient_Data!$P$2:$P$81,1)</f>
        <v>2</v>
      </c>
      <c r="E12">
        <f t="shared" si="0"/>
        <v>0.25</v>
      </c>
      <c r="F12">
        <f>COUNTIFS(Patient_Data!$D$2:$D$81,A12,Patient_Data!$J$2:$J$81,"Severe")</f>
        <v>0</v>
      </c>
      <c r="G12">
        <f>IFERROR(AVERAGEIFS(Patient_Data!$N$2:$N$81,Patient_Data!$D$2:$D$81,A12,Patient_Data!$P$2:$P$81,1),0)</f>
        <v>22</v>
      </c>
      <c r="H12">
        <f>COUNTIFS(Patient_Data!$D$2:$D$81,A12,Patient_Data!$V$2:$V$81,"Probable")</f>
        <v>2</v>
      </c>
      <c r="I12" t="str">
        <f t="shared" si="1"/>
        <v>Medium</v>
      </c>
      <c r="J12">
        <f t="shared" si="2"/>
        <v>5</v>
      </c>
    </row>
    <row r="13" spans="1:10" x14ac:dyDescent="0.25">
      <c r="A13" t="s">
        <v>71</v>
      </c>
      <c r="B13" t="str">
        <f>INDEX(Patient_Data!$E$2:$E$81,MATCH(A13,Patient_Data!$D$2:$D$81,0))</f>
        <v>Anticoagulant</v>
      </c>
      <c r="C13">
        <f>COUNTIFS(Patient_Data!$D$2:$D$81,A13)</f>
        <v>8</v>
      </c>
      <c r="D13">
        <f>COUNTIFS(Patient_Data!$D$2:$D$81,A13,Patient_Data!$P$2:$P$81,1)</f>
        <v>4</v>
      </c>
      <c r="E13">
        <f t="shared" si="0"/>
        <v>0.5</v>
      </c>
      <c r="F13">
        <f>COUNTIFS(Patient_Data!$D$2:$D$81,A13,Patient_Data!$J$2:$J$81,"Severe")</f>
        <v>0</v>
      </c>
      <c r="G13">
        <f>IFERROR(AVERAGEIFS(Patient_Data!$N$2:$N$81,Patient_Data!$D$2:$D$81,A13,Patient_Data!$P$2:$P$81,1),0)</f>
        <v>22.75</v>
      </c>
      <c r="H13">
        <f>COUNTIFS(Patient_Data!$D$2:$D$81,A13,Patient_Data!$V$2:$V$81,"Probable")</f>
        <v>2</v>
      </c>
      <c r="I13" t="str">
        <f t="shared" si="1"/>
        <v>High</v>
      </c>
      <c r="J13">
        <f t="shared" si="2"/>
        <v>2</v>
      </c>
    </row>
    <row r="14" spans="1:10" x14ac:dyDescent="0.25">
      <c r="A14" t="s">
        <v>41</v>
      </c>
      <c r="B14" t="str">
        <f>INDEX(Patient_Data!$E$2:$E$81,MATCH(A14,Patient_Data!$D$2:$D$81,0))</f>
        <v>Analgesic</v>
      </c>
      <c r="C14">
        <f>COUNTIFS(Patient_Data!$D$2:$D$81,A14)</f>
        <v>8</v>
      </c>
      <c r="D14">
        <f>COUNTIFS(Patient_Data!$D$2:$D$81,A14,Patient_Data!$P$2:$P$81,1)</f>
        <v>0</v>
      </c>
      <c r="E14">
        <f t="shared" si="0"/>
        <v>0</v>
      </c>
      <c r="F14">
        <f>COUNTIFS(Patient_Data!$D$2:$D$81,A14,Patient_Data!$J$2:$J$81,"Severe")</f>
        <v>0</v>
      </c>
      <c r="G14">
        <f>IFERROR(AVERAGEIFS(Patient_Data!$N$2:$N$81,Patient_Data!$D$2:$D$81,A14,Patient_Data!$P$2:$P$81,1),0)</f>
        <v>0</v>
      </c>
      <c r="H14">
        <f>COUNTIFS(Patient_Data!$D$2:$D$81,A14,Patient_Data!$V$2:$V$81,"Probable")</f>
        <v>0</v>
      </c>
      <c r="I14" t="str">
        <f t="shared" si="1"/>
        <v>Low</v>
      </c>
      <c r="J14">
        <f t="shared" si="2"/>
        <v>10</v>
      </c>
    </row>
    <row r="15" spans="1:10" x14ac:dyDescent="0.25">
      <c r="A15" t="s">
        <v>56</v>
      </c>
      <c r="B15" t="str">
        <f>INDEX(Patient_Data!$E$2:$E$81,MATCH(A15,Patient_Data!$D$2:$D$81,0))</f>
        <v>Fluoroquinolone</v>
      </c>
      <c r="C15">
        <f>COUNTIFS(Patient_Data!$D$2:$D$81,A15)</f>
        <v>8</v>
      </c>
      <c r="D15">
        <f>COUNTIFS(Patient_Data!$D$2:$D$81,A15,Patient_Data!$P$2:$P$81,1)</f>
        <v>2</v>
      </c>
      <c r="E15">
        <f t="shared" si="0"/>
        <v>0.25</v>
      </c>
      <c r="F15">
        <f>COUNTIFS(Patient_Data!$D$2:$D$81,A15,Patient_Data!$J$2:$J$81,"Severe")</f>
        <v>0</v>
      </c>
      <c r="G15">
        <f>IFERROR(AVERAGEIFS(Patient_Data!$N$2:$N$81,Patient_Data!$D$2:$D$81,A15,Patient_Data!$P$2:$P$81,1),0)</f>
        <v>7</v>
      </c>
      <c r="H15">
        <f>COUNTIFS(Patient_Data!$D$2:$D$81,A15,Patient_Data!$V$2:$V$81,"Probable")</f>
        <v>0</v>
      </c>
      <c r="I15" t="str">
        <f t="shared" si="1"/>
        <v>Medium</v>
      </c>
      <c r="J15">
        <f t="shared" si="2"/>
        <v>5</v>
      </c>
    </row>
    <row r="16" spans="1:10" x14ac:dyDescent="0.25">
      <c r="A16" t="s">
        <v>15</v>
      </c>
      <c r="B16" t="str">
        <f>INDEX(Patient_Data!$E$2:$E$81,MATCH(A16,Patient_Data!$D$2:$D$81,0))</f>
        <v>Proton Pump Inhibitor</v>
      </c>
      <c r="C16">
        <f>COUNTIFS(Patient_Data!$D$2:$D$81,A16)</f>
        <v>8</v>
      </c>
      <c r="D16">
        <f>COUNTIFS(Patient_Data!$D$2:$D$81,A16,Patient_Data!$P$2:$P$81,1)</f>
        <v>1</v>
      </c>
      <c r="E16">
        <f t="shared" si="0"/>
        <v>0.125</v>
      </c>
      <c r="F16">
        <f>COUNTIFS(Patient_Data!$D$2:$D$81,A16,Patient_Data!$J$2:$J$81,"Severe")</f>
        <v>0</v>
      </c>
      <c r="G16">
        <f>IFERROR(AVERAGEIFS(Patient_Data!$N$2:$N$81,Patient_Data!$D$2:$D$81,A16,Patient_Data!$P$2:$P$81,1),0)</f>
        <v>27</v>
      </c>
      <c r="H16">
        <f>COUNTIFS(Patient_Data!$D$2:$D$81,A16,Patient_Data!$V$2:$V$81,"Probable")</f>
        <v>0</v>
      </c>
      <c r="I16" t="str">
        <f t="shared" si="1"/>
        <v>Low</v>
      </c>
      <c r="J16">
        <f t="shared" si="2"/>
        <v>9</v>
      </c>
    </row>
    <row r="17" spans="1:8" x14ac:dyDescent="0.25">
      <c r="A17" t="s">
        <v>173</v>
      </c>
      <c r="C17">
        <f>SUM(C7:C16)</f>
        <v>80</v>
      </c>
      <c r="D17">
        <f>SUM(D7:D16)</f>
        <v>26</v>
      </c>
      <c r="F17">
        <f>SUM(F7:F16)</f>
        <v>2</v>
      </c>
      <c r="H17">
        <f>SUM(H7:H16)</f>
        <v>17</v>
      </c>
    </row>
  </sheetData>
  <conditionalFormatting sqref="I7:I16">
    <cfRule type="cellIs" dxfId="2" priority="1" operator="equal">
      <formula>"Low"</formula>
    </cfRule>
    <cfRule type="cellIs" dxfId="1" priority="2" operator="equal">
      <formula>"Medium"</formula>
    </cfRule>
    <cfRule type="cellIs" dxfId="0" priority="3" operator="equal">
      <formula>"High"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3"/>
  <sheetViews>
    <sheetView workbookViewId="0"/>
  </sheetViews>
  <sheetFormatPr defaultRowHeight="15" x14ac:dyDescent="0.25"/>
  <cols>
    <col min="1" max="1" width="18" customWidth="1"/>
    <col min="2" max="2" width="28" customWidth="1"/>
  </cols>
  <sheetData>
    <row r="1" spans="1:2" x14ac:dyDescent="0.25">
      <c r="A1" s="1" t="s">
        <v>3</v>
      </c>
      <c r="B1" s="1" t="s">
        <v>144</v>
      </c>
    </row>
    <row r="2" spans="1:2" x14ac:dyDescent="0.25">
      <c r="A2" s="2" t="s">
        <v>44</v>
      </c>
      <c r="B2" s="2" t="s">
        <v>75</v>
      </c>
    </row>
    <row r="3" spans="1:2" x14ac:dyDescent="0.25">
      <c r="A3" s="2" t="s">
        <v>44</v>
      </c>
      <c r="B3" s="2" t="s">
        <v>46</v>
      </c>
    </row>
    <row r="4" spans="1:2" x14ac:dyDescent="0.25">
      <c r="A4" s="2" t="s">
        <v>44</v>
      </c>
      <c r="B4" s="2" t="s">
        <v>109</v>
      </c>
    </row>
    <row r="5" spans="1:2" x14ac:dyDescent="0.25">
      <c r="A5" s="2" t="s">
        <v>63</v>
      </c>
      <c r="B5" s="2" t="s">
        <v>109</v>
      </c>
    </row>
    <row r="6" spans="1:2" x14ac:dyDescent="0.25">
      <c r="A6" s="2" t="s">
        <v>63</v>
      </c>
      <c r="B6" s="2" t="s">
        <v>65</v>
      </c>
    </row>
    <row r="7" spans="1:2" x14ac:dyDescent="0.25">
      <c r="A7" s="2" t="s">
        <v>63</v>
      </c>
      <c r="B7" s="2" t="s">
        <v>145</v>
      </c>
    </row>
    <row r="8" spans="1:2" x14ac:dyDescent="0.25">
      <c r="A8" s="2" t="s">
        <v>38</v>
      </c>
      <c r="B8" s="2" t="s">
        <v>95</v>
      </c>
    </row>
    <row r="9" spans="1:2" x14ac:dyDescent="0.25">
      <c r="A9" s="2" t="s">
        <v>38</v>
      </c>
      <c r="B9" s="2" t="s">
        <v>88</v>
      </c>
    </row>
    <row r="10" spans="1:2" x14ac:dyDescent="0.25">
      <c r="A10" s="2" t="s">
        <v>21</v>
      </c>
      <c r="B10" s="2" t="s">
        <v>60</v>
      </c>
    </row>
    <row r="11" spans="1:2" x14ac:dyDescent="0.25">
      <c r="A11" s="2" t="s">
        <v>21</v>
      </c>
      <c r="B11" s="2" t="s">
        <v>65</v>
      </c>
    </row>
    <row r="12" spans="1:2" x14ac:dyDescent="0.25">
      <c r="A12" s="2" t="s">
        <v>21</v>
      </c>
      <c r="B12" s="2" t="s">
        <v>69</v>
      </c>
    </row>
    <row r="13" spans="1:2" x14ac:dyDescent="0.25">
      <c r="A13" s="2" t="s">
        <v>30</v>
      </c>
      <c r="B13" s="2" t="s">
        <v>32</v>
      </c>
    </row>
    <row r="14" spans="1:2" x14ac:dyDescent="0.25">
      <c r="A14" s="2" t="s">
        <v>30</v>
      </c>
      <c r="B14" s="2" t="s">
        <v>146</v>
      </c>
    </row>
    <row r="15" spans="1:2" x14ac:dyDescent="0.25">
      <c r="A15" s="2" t="s">
        <v>30</v>
      </c>
      <c r="B15" s="2" t="s">
        <v>104</v>
      </c>
    </row>
    <row r="16" spans="1:2" x14ac:dyDescent="0.25">
      <c r="A16" s="2" t="s">
        <v>26</v>
      </c>
      <c r="B16" s="2" t="s">
        <v>77</v>
      </c>
    </row>
    <row r="17" spans="1:2" x14ac:dyDescent="0.25">
      <c r="A17" s="2" t="s">
        <v>26</v>
      </c>
      <c r="B17" s="2" t="s">
        <v>135</v>
      </c>
    </row>
    <row r="18" spans="1:2" x14ac:dyDescent="0.25">
      <c r="A18" s="2" t="s">
        <v>71</v>
      </c>
      <c r="B18" s="2" t="s">
        <v>147</v>
      </c>
    </row>
    <row r="19" spans="1:2" x14ac:dyDescent="0.25">
      <c r="A19" s="2" t="s">
        <v>71</v>
      </c>
      <c r="B19" s="2" t="s">
        <v>73</v>
      </c>
    </row>
    <row r="20" spans="1:2" x14ac:dyDescent="0.25">
      <c r="A20" s="2" t="s">
        <v>41</v>
      </c>
      <c r="B20" s="2" t="s">
        <v>88</v>
      </c>
    </row>
    <row r="21" spans="1:2" x14ac:dyDescent="0.25">
      <c r="A21" s="2" t="s">
        <v>41</v>
      </c>
      <c r="B21" s="2" t="s">
        <v>109</v>
      </c>
    </row>
    <row r="22" spans="1:2" x14ac:dyDescent="0.25">
      <c r="A22" s="2" t="s">
        <v>56</v>
      </c>
      <c r="B22" s="2" t="s">
        <v>58</v>
      </c>
    </row>
    <row r="23" spans="1:2" x14ac:dyDescent="0.25">
      <c r="A23" s="2" t="s">
        <v>56</v>
      </c>
      <c r="B23" s="2" t="s">
        <v>60</v>
      </c>
    </row>
    <row r="24" spans="1:2" x14ac:dyDescent="0.25">
      <c r="A24" s="2" t="s">
        <v>56</v>
      </c>
      <c r="B24" s="2" t="s">
        <v>148</v>
      </c>
    </row>
    <row r="25" spans="1:2" x14ac:dyDescent="0.25">
      <c r="A25" s="2" t="s">
        <v>15</v>
      </c>
      <c r="B25" s="2" t="s">
        <v>135</v>
      </c>
    </row>
    <row r="26" spans="1:2" x14ac:dyDescent="0.25">
      <c r="A26" s="2" t="s">
        <v>15</v>
      </c>
      <c r="B26" s="2" t="s">
        <v>65</v>
      </c>
    </row>
    <row r="27" spans="1:2" x14ac:dyDescent="0.25">
      <c r="A27" s="2" t="s">
        <v>15</v>
      </c>
      <c r="B27" s="2" t="s">
        <v>109</v>
      </c>
    </row>
    <row r="28" spans="1:2" x14ac:dyDescent="0.25">
      <c r="A28" s="2" t="s">
        <v>44</v>
      </c>
      <c r="B28" s="2" t="s">
        <v>88</v>
      </c>
    </row>
    <row r="29" spans="1:2" x14ac:dyDescent="0.25">
      <c r="A29" s="2" t="s">
        <v>56</v>
      </c>
      <c r="B29" s="2" t="s">
        <v>109</v>
      </c>
    </row>
    <row r="30" spans="1:2" x14ac:dyDescent="0.25">
      <c r="A30" s="2" t="s">
        <v>71</v>
      </c>
      <c r="B30" s="2" t="s">
        <v>46</v>
      </c>
    </row>
    <row r="31" spans="1:2" x14ac:dyDescent="0.25">
      <c r="A31" s="2" t="s">
        <v>15</v>
      </c>
      <c r="B31" s="2" t="s">
        <v>60</v>
      </c>
    </row>
    <row r="33" spans="1:1" x14ac:dyDescent="0.25">
      <c r="A33" s="4" t="s">
        <v>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Reaction matrix</vt:lpstr>
      <vt:lpstr>Risk factors </vt:lpstr>
      <vt:lpstr>Patient_Data</vt:lpstr>
      <vt:lpstr>Drug analysis</vt:lpstr>
      <vt:lpstr>Known_ADRs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S0122410</cp:lastModifiedBy>
  <dcterms:created xsi:type="dcterms:W3CDTF">2026-10-14T04:54:05Z</dcterms:created>
  <dcterms:modified xsi:type="dcterms:W3CDTF">2026-10-14T13:54:04Z</dcterms:modified>
</cp:coreProperties>
</file>